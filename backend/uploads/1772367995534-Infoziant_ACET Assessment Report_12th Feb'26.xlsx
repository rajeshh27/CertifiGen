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F9966931-6222-412F-977B-E388705994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E" sheetId="4" r:id="rId1"/>
    <sheet name="AI&amp;DS" sheetId="7" r:id="rId2"/>
  </sheets>
  <definedNames>
    <definedName name="_xlnm._FilterDatabase" localSheetId="0" hidden="1">CSE!$H$4:$H$124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5" i="7" l="1"/>
  <c r="H64" i="7"/>
  <c r="H62" i="7"/>
  <c r="H63" i="7" s="1"/>
  <c r="H123" i="4"/>
  <c r="H121" i="4"/>
  <c r="H122" i="4" s="1"/>
  <c r="H124" i="4"/>
  <c r="G121" i="4"/>
  <c r="G122" i="4" s="1"/>
  <c r="G124" i="4"/>
  <c r="G123" i="4"/>
  <c r="G65" i="7"/>
  <c r="G64" i="7"/>
  <c r="G62" i="7"/>
  <c r="G63" i="7" s="1"/>
  <c r="F123" i="4" l="1"/>
  <c r="F121" i="4"/>
  <c r="F122" i="4" s="1"/>
  <c r="F64" i="7"/>
  <c r="F62" i="7"/>
  <c r="F63" i="7" s="1"/>
  <c r="F124" i="4"/>
  <c r="F65" i="7" l="1"/>
</calcChain>
</file>

<file path=xl/sharedStrings.xml><?xml version="1.0" encoding="utf-8"?>
<sst xmlns="http://schemas.openxmlformats.org/spreadsheetml/2006/main" count="918" uniqueCount="521">
  <si>
    <t>DEPARTMENT OF TRAINING AND PLACEMENT</t>
  </si>
  <si>
    <t>STUDNETS INFO</t>
  </si>
  <si>
    <t>S.No</t>
  </si>
  <si>
    <t>Name</t>
  </si>
  <si>
    <t xml:space="preserve">Out of </t>
  </si>
  <si>
    <t>Reg.No</t>
  </si>
  <si>
    <t>Department</t>
  </si>
  <si>
    <t>Mail ID</t>
  </si>
  <si>
    <t>No. of students pass</t>
  </si>
  <si>
    <t>No. of students fail</t>
  </si>
  <si>
    <t>Overall Strength</t>
  </si>
  <si>
    <t>AI&amp;DS</t>
  </si>
  <si>
    <t>RAMYA R</t>
  </si>
  <si>
    <t>SANTHOSH K</t>
  </si>
  <si>
    <t>SARAVANAN R</t>
  </si>
  <si>
    <t>Assessment 1</t>
  </si>
  <si>
    <t>AB</t>
  </si>
  <si>
    <t>No. of Attended</t>
  </si>
  <si>
    <t>No. of Not Attended</t>
  </si>
  <si>
    <t>ACHARIYA COLLEGE OF ENGINEERING AND TECHNOLOGY</t>
  </si>
  <si>
    <t>Year: III         Department:  CSE</t>
  </si>
  <si>
    <t>23TD0501</t>
  </si>
  <si>
    <t>23TD0503</t>
  </si>
  <si>
    <t>23TD0504</t>
  </si>
  <si>
    <t>23TD0506</t>
  </si>
  <si>
    <t>23TD0507</t>
  </si>
  <si>
    <t>23TD0508</t>
  </si>
  <si>
    <t>23TD0509</t>
  </si>
  <si>
    <t>23TD0510</t>
  </si>
  <si>
    <t>23TD0511</t>
  </si>
  <si>
    <t>23TD0513</t>
  </si>
  <si>
    <t>23TD0514</t>
  </si>
  <si>
    <t>23TD0515</t>
  </si>
  <si>
    <t>23TD0516</t>
  </si>
  <si>
    <t>23TD0517</t>
  </si>
  <si>
    <t>23TD0518</t>
  </si>
  <si>
    <t>23TD0519</t>
  </si>
  <si>
    <t>23TD0520</t>
  </si>
  <si>
    <t>23TD0521</t>
  </si>
  <si>
    <t>23TD0523</t>
  </si>
  <si>
    <t>23TD0524</t>
  </si>
  <si>
    <t>23TD0525</t>
  </si>
  <si>
    <t>23TD0526</t>
  </si>
  <si>
    <t>23TD0527</t>
  </si>
  <si>
    <t>23TD0529</t>
  </si>
  <si>
    <t>23TD0530</t>
  </si>
  <si>
    <t>23TD0531</t>
  </si>
  <si>
    <t>23TD0532</t>
  </si>
  <si>
    <t>23TD0533</t>
  </si>
  <si>
    <t>23TD0534</t>
  </si>
  <si>
    <t>23TD0535</t>
  </si>
  <si>
    <t>23TD0536</t>
  </si>
  <si>
    <t>23TD0537</t>
  </si>
  <si>
    <t>23TD0538</t>
  </si>
  <si>
    <t>23TD0539</t>
  </si>
  <si>
    <t>23TD0540</t>
  </si>
  <si>
    <t>23TD0541</t>
  </si>
  <si>
    <t>23TD0542</t>
  </si>
  <si>
    <t>23TD0543</t>
  </si>
  <si>
    <t>23TD0544</t>
  </si>
  <si>
    <t>23TD0545</t>
  </si>
  <si>
    <t>23TD0546</t>
  </si>
  <si>
    <t>23TD0547</t>
  </si>
  <si>
    <t>23TD0548</t>
  </si>
  <si>
    <t>23TD0549</t>
  </si>
  <si>
    <t>23TD0550</t>
  </si>
  <si>
    <t>23TD0552</t>
  </si>
  <si>
    <t>23TD0553</t>
  </si>
  <si>
    <t>23TD0554</t>
  </si>
  <si>
    <t>23TD0555</t>
  </si>
  <si>
    <t>23TD0556</t>
  </si>
  <si>
    <t>23TD0557</t>
  </si>
  <si>
    <t>23TD0558</t>
  </si>
  <si>
    <t>23TD0559</t>
  </si>
  <si>
    <t>23TD0560</t>
  </si>
  <si>
    <t>22TD0374</t>
  </si>
  <si>
    <t>23TP0024</t>
  </si>
  <si>
    <t>23TP0013</t>
  </si>
  <si>
    <t>23TD0561</t>
  </si>
  <si>
    <t>23TD0562</t>
  </si>
  <si>
    <t>23TD0563</t>
  </si>
  <si>
    <t>23TD0564</t>
  </si>
  <si>
    <t>23TD0565</t>
  </si>
  <si>
    <t>23TD0566</t>
  </si>
  <si>
    <t>23TD0567</t>
  </si>
  <si>
    <t>23TD0568</t>
  </si>
  <si>
    <t>23TD0569</t>
  </si>
  <si>
    <t>23TD0571</t>
  </si>
  <si>
    <t>23TD0572</t>
  </si>
  <si>
    <t>23TD0573</t>
  </si>
  <si>
    <t>23TD0574</t>
  </si>
  <si>
    <t>23TD0575</t>
  </si>
  <si>
    <t>23TD0576</t>
  </si>
  <si>
    <t>23TD0577</t>
  </si>
  <si>
    <t>23TD0578</t>
  </si>
  <si>
    <t>23TD0579</t>
  </si>
  <si>
    <t>23TD0580</t>
  </si>
  <si>
    <t>23TD0581</t>
  </si>
  <si>
    <t>23TD0582</t>
  </si>
  <si>
    <t>23TD0583</t>
  </si>
  <si>
    <t>23TD0584</t>
  </si>
  <si>
    <t>23TD0585</t>
  </si>
  <si>
    <t>23TD0586</t>
  </si>
  <si>
    <t>23TD0587</t>
  </si>
  <si>
    <t>23TD0588</t>
  </si>
  <si>
    <t>23TD0589</t>
  </si>
  <si>
    <t>23TD0590</t>
  </si>
  <si>
    <t>23TD0591</t>
  </si>
  <si>
    <t>23TD0593</t>
  </si>
  <si>
    <t>23TD0594</t>
  </si>
  <si>
    <t>23TD0595</t>
  </si>
  <si>
    <t>23TD0596</t>
  </si>
  <si>
    <t>23TD0597</t>
  </si>
  <si>
    <t>23TD0598</t>
  </si>
  <si>
    <t>23TD0599</t>
  </si>
  <si>
    <t>23TD0600</t>
  </si>
  <si>
    <t>23TD0602</t>
  </si>
  <si>
    <t>23TD0603</t>
  </si>
  <si>
    <t>23TD0604</t>
  </si>
  <si>
    <t>23TD0605</t>
  </si>
  <si>
    <t>23TD0606</t>
  </si>
  <si>
    <t>23TD0607</t>
  </si>
  <si>
    <t>23TD0608</t>
  </si>
  <si>
    <t>23TD0609</t>
  </si>
  <si>
    <t>23TD0610</t>
  </si>
  <si>
    <t>23TD0612</t>
  </si>
  <si>
    <t>23TD0613</t>
  </si>
  <si>
    <t>23TD0614</t>
  </si>
  <si>
    <t>23TD0615</t>
  </si>
  <si>
    <t>23TD0617</t>
  </si>
  <si>
    <t>23TD0618</t>
  </si>
  <si>
    <t>23TD0619</t>
  </si>
  <si>
    <t>23TD0620</t>
  </si>
  <si>
    <t>23TDLE01</t>
  </si>
  <si>
    <t>AAKASH C</t>
  </si>
  <si>
    <t>ABERAM V</t>
  </si>
  <si>
    <t>ABINAYA D</t>
  </si>
  <si>
    <t>AKASH A</t>
  </si>
  <si>
    <t>AKSHAIYA V</t>
  </si>
  <si>
    <t>ANEESA A</t>
  </si>
  <si>
    <t>ANEEZ FATHIMA A</t>
  </si>
  <si>
    <t>ARULBERTIN A</t>
  </si>
  <si>
    <t>ARUN PRASATH P</t>
  </si>
  <si>
    <t>ASEELAH BEGUM A</t>
  </si>
  <si>
    <t>BALAGANESH R</t>
  </si>
  <si>
    <t>BATHULA ISSAC VIJAY KUMAR</t>
  </si>
  <si>
    <t>BAVADHARANI R</t>
  </si>
  <si>
    <t>BHARATHVAAJ S</t>
  </si>
  <si>
    <t>CRAZY S</t>
  </si>
  <si>
    <t>DHARANYA D</t>
  </si>
  <si>
    <t>DINESH KUMAR R</t>
  </si>
  <si>
    <t>GAJALAKSHMI J</t>
  </si>
  <si>
    <t>GIRITHARAN S</t>
  </si>
  <si>
    <t>GOBINATH M</t>
  </si>
  <si>
    <t>GOKUL B</t>
  </si>
  <si>
    <t>GOPIKA N</t>
  </si>
  <si>
    <t>HARI SRI S</t>
  </si>
  <si>
    <t>HEMA S</t>
  </si>
  <si>
    <t>JANCI P</t>
  </si>
  <si>
    <t>JAYA SURYA S</t>
  </si>
  <si>
    <t>JAYARAJ A</t>
  </si>
  <si>
    <t>JEEVAN R P</t>
  </si>
  <si>
    <t>JISHA J</t>
  </si>
  <si>
    <t>K RAJA SUTANTR</t>
  </si>
  <si>
    <t>KANCHI MAHALAKSHMI</t>
  </si>
  <si>
    <t>KAVIPRIYA K</t>
  </si>
  <si>
    <t>KAVIYA R</t>
  </si>
  <si>
    <t>KISHORE G</t>
  </si>
  <si>
    <t>LAKSHMI R</t>
  </si>
  <si>
    <t>LAKSHMIDEVI R</t>
  </si>
  <si>
    <t>LAKSHMINARASIMMAN A</t>
  </si>
  <si>
    <t>LAVANYA M</t>
  </si>
  <si>
    <t>LOGESHWARI T</t>
  </si>
  <si>
    <t>LOKESHWARAN S</t>
  </si>
  <si>
    <t>MAHALAKSHMI A</t>
  </si>
  <si>
    <t>MANO A</t>
  </si>
  <si>
    <t>MANOJ M</t>
  </si>
  <si>
    <t>MEGALA J</t>
  </si>
  <si>
    <t>MESHAK FAUCHE A</t>
  </si>
  <si>
    <t>MOHAMED KARIMULLAH K</t>
  </si>
  <si>
    <t>MOHAMED RIYAAZ B</t>
  </si>
  <si>
    <t>MOHANASRI S</t>
  </si>
  <si>
    <t>MOUNISHA R</t>
  </si>
  <si>
    <t>MUGILAN B</t>
  </si>
  <si>
    <t>MUTHUKUMARASAMY A</t>
  </si>
  <si>
    <t>MYTHILI A</t>
  </si>
  <si>
    <t>N KIRUTHIGA</t>
  </si>
  <si>
    <t>N NANDHITH</t>
  </si>
  <si>
    <t>PREETHI</t>
  </si>
  <si>
    <t>KRISHNA KUMAR S</t>
  </si>
  <si>
    <t>KAMALESHWAR</t>
  </si>
  <si>
    <t>NAKKA BHANU TEJA</t>
  </si>
  <si>
    <t>NAVEEN S</t>
  </si>
  <si>
    <t>NAVINKUMAR G</t>
  </si>
  <si>
    <t>NIRMAL SANKAR</t>
  </si>
  <si>
    <t>PADMASRI B</t>
  </si>
  <si>
    <t>PARVEEN R</t>
  </si>
  <si>
    <t>POOJA R</t>
  </si>
  <si>
    <t>PRABAKARAN R</t>
  </si>
  <si>
    <t>PRASATH S</t>
  </si>
  <si>
    <t>RAGHUNATHAN S</t>
  </si>
  <si>
    <t>RAJESH E</t>
  </si>
  <si>
    <t>RAJESH P</t>
  </si>
  <si>
    <t>RAJESWARI S</t>
  </si>
  <si>
    <t>RAJKARAN V</t>
  </si>
  <si>
    <t>RAMACHANDRA S</t>
  </si>
  <si>
    <t>RANJITH S</t>
  </si>
  <si>
    <t>ROSHIN G</t>
  </si>
  <si>
    <t>RUKSHANA V</t>
  </si>
  <si>
    <t>RUTHRA MOORTHY T</t>
  </si>
  <si>
    <t>S E VARSHINI</t>
  </si>
  <si>
    <t>SACHIN RAJ S</t>
  </si>
  <si>
    <t>SARANYA S</t>
  </si>
  <si>
    <t>SARAVANAN M</t>
  </si>
  <si>
    <t>SASTHADHARSHAN G</t>
  </si>
  <si>
    <t>SETHURAJAN A</t>
  </si>
  <si>
    <t>SHAJITHA FAREEN T</t>
  </si>
  <si>
    <t>SHAMINI D</t>
  </si>
  <si>
    <t>SHARUKKHAN N</t>
  </si>
  <si>
    <t>SHIVANI K</t>
  </si>
  <si>
    <t>SIVABARATHI S</t>
  </si>
  <si>
    <t>SIVARANJANI R</t>
  </si>
  <si>
    <t>SIVASUBRAMANIYAN K</t>
  </si>
  <si>
    <t>SRIDHAR B</t>
  </si>
  <si>
    <t>SRIKANTH S</t>
  </si>
  <si>
    <t>SRIKANTH V</t>
  </si>
  <si>
    <t>SRIRAM P</t>
  </si>
  <si>
    <t>SUBASRI S</t>
  </si>
  <si>
    <t>SUNDAR P</t>
  </si>
  <si>
    <t>SUNDEEP A M</t>
  </si>
  <si>
    <t>SWETHA J</t>
  </si>
  <si>
    <t>SYED JAKIR HUSSAIN S</t>
  </si>
  <si>
    <t>THAMIZHSELVAN D</t>
  </si>
  <si>
    <t>THANUSHRI R</t>
  </si>
  <si>
    <t>THARUN S</t>
  </si>
  <si>
    <t>THILAGA V</t>
  </si>
  <si>
    <t>VANITHA L</t>
  </si>
  <si>
    <t>VIGNESH R</t>
  </si>
  <si>
    <t>VIMAL A</t>
  </si>
  <si>
    <t>VINODHINI R</t>
  </si>
  <si>
    <t>VIVINE JOAN C</t>
  </si>
  <si>
    <t>YAMUNA T</t>
  </si>
  <si>
    <t>YUGESHWARAN V</t>
  </si>
  <si>
    <t>YUVASHRI R</t>
  </si>
  <si>
    <t>AMIRTHAVARSHINI</t>
  </si>
  <si>
    <t>CSE</t>
  </si>
  <si>
    <t>abhishekantony777@gmail.com</t>
  </si>
  <si>
    <t>adityag0812@gmail.com</t>
  </si>
  <si>
    <t>deeparts09@gmail.com</t>
  </si>
  <si>
    <t>Deepaknandha041@gmail.com</t>
  </si>
  <si>
    <t>dhanusyasegaran@gmail.com</t>
  </si>
  <si>
    <t>raganihd01@gmail.com</t>
  </si>
  <si>
    <t>dhushyanthvkf16@gmail.com</t>
  </si>
  <si>
    <t>ganapathiraj810@gmail.com</t>
  </si>
  <si>
    <t>gopinathcoc2006@gmail.com</t>
  </si>
  <si>
    <t>hariharansivakumar64@gmail.com</t>
  </si>
  <si>
    <t>hrithik1706@gmail.com</t>
  </si>
  <si>
    <t>phrithik77@gmail.com</t>
  </si>
  <si>
    <t>jayanithasri260@gmail.com</t>
  </si>
  <si>
    <t>jeevanandhamjeeva763@gmail.com</t>
  </si>
  <si>
    <t>kaameshj@gmail.com</t>
  </si>
  <si>
    <t>kanimozhimeena77@gmail.com</t>
  </si>
  <si>
    <t xml:space="preserve">ms.velu8 2@gmail. com </t>
  </si>
  <si>
    <t>praveenmurugan100@gmail.com</t>
  </si>
  <si>
    <t>kirubeshvarman28@gmail.com</t>
  </si>
  <si>
    <t>v364kishore@gmail.com</t>
  </si>
  <si>
    <t>kokula0403@gmail.com</t>
  </si>
  <si>
    <t>lakshaya21062006@gmail.com</t>
  </si>
  <si>
    <t>maideenvavasi9@gmail.com</t>
  </si>
  <si>
    <t>Maninathan2005@gmail.com</t>
  </si>
  <si>
    <t>megananv06@gmail.com</t>
  </si>
  <si>
    <t>smidhun2201@gmail.com</t>
  </si>
  <si>
    <t>mohamedrizwan4518@gmail.com</t>
  </si>
  <si>
    <t>mahasudhakar1125@gmail.com</t>
  </si>
  <si>
    <t>atmohan45@gmail.com</t>
  </si>
  <si>
    <t>mugillanmugi82@gmail.com</t>
  </si>
  <si>
    <t>nagendransnk30@gmail.com</t>
  </si>
  <si>
    <t>narthanam07@gmail.com</t>
  </si>
  <si>
    <t>nishanthij2003@gmail.com</t>
  </si>
  <si>
    <t>rahulroman8084@gmail.com</t>
  </si>
  <si>
    <t>prasanthmg622@gmail.com</t>
  </si>
  <si>
    <t>premalathasathish604@gmail.com</t>
  </si>
  <si>
    <t>rajk5669291@gmail.com</t>
  </si>
  <si>
    <t xml:space="preserve">rajasekear9842@gmail.com </t>
  </si>
  <si>
    <t>rasheeqazakier@gmail.com</t>
  </si>
  <si>
    <t>vrashika71@gmail.com</t>
  </si>
  <si>
    <t>rubini29082006@gmail.com</t>
  </si>
  <si>
    <t xml:space="preserve">jsandhiya41@gmail.com </t>
  </si>
  <si>
    <t>saravanan0712005@gmail.com</t>
  </si>
  <si>
    <t>selvaprivate513@gmail.com</t>
  </si>
  <si>
    <t>shajithanwar45@gmail.com</t>
  </si>
  <si>
    <t>snsiva854@gmail.com</t>
  </si>
  <si>
    <t>sakthisakthi2805@gmail.co</t>
  </si>
  <si>
    <t>sudarshana7124@gmail.com</t>
  </si>
  <si>
    <t>thayjashers@gmail.com</t>
  </si>
  <si>
    <t>itsthirisha8@gmail.com</t>
  </si>
  <si>
    <t>vijayvj291005@gmail.com</t>
  </si>
  <si>
    <t>vishalikumaresan57@gmail.com</t>
  </si>
  <si>
    <t>loshithgowtham14@gmail.com</t>
  </si>
  <si>
    <t>aakash1682004@gmail.com</t>
  </si>
  <si>
    <t>abesheakaberam@gmail.com</t>
  </si>
  <si>
    <t>abai43555@gmail.com</t>
  </si>
  <si>
    <t>akash1392005@gmail.com</t>
  </si>
  <si>
    <t>akshiayav@gmail.com</t>
  </si>
  <si>
    <t>aneesaanwar199@gmail.com</t>
  </si>
  <si>
    <t>aneez5564@gmail.com</t>
  </si>
  <si>
    <t>bertinx777@gmail.com</t>
  </si>
  <si>
    <t>arunarun1432005@gmail.com</t>
  </si>
  <si>
    <t>ashuaseelah@gmail.com</t>
  </si>
  <si>
    <t>rbalaganesh2307@gmail.com</t>
  </si>
  <si>
    <t>bavadharaniramu@gmail.com</t>
  </si>
  <si>
    <t>devidevika42241@gmail.com</t>
  </si>
  <si>
    <t>crazysolomon03@gmail.com</t>
  </si>
  <si>
    <t>dharanyad162005@gmail.com</t>
  </si>
  <si>
    <t>dineshofficial3002@gmail.com</t>
  </si>
  <si>
    <t>gajalakshmijayabal00@gmail.com</t>
  </si>
  <si>
    <t>girimass1210@gmail.com</t>
  </si>
  <si>
    <t>gobinath8903@gmail.com</t>
  </si>
  <si>
    <t>ggokulnath041@gmail.com</t>
  </si>
  <si>
    <t>gopika4810@gmail.com</t>
  </si>
  <si>
    <t>saravanansaravanan67036@gmail.com</t>
  </si>
  <si>
    <t>hemaliya.2006@gmail.com</t>
  </si>
  <si>
    <t>januhhh22@gmail.com</t>
  </si>
  <si>
    <t>suryayeagriest@gmail.com</t>
  </si>
  <si>
    <t>jraj33715@gmail.com</t>
  </si>
  <si>
    <t>jeevanrp1406@gmail.com</t>
  </si>
  <si>
    <t>jishajayaprakash336@gmail.com</t>
  </si>
  <si>
    <t>rajasutantrk@gmail.com</t>
  </si>
  <si>
    <t>mahalakshmikanchi92@gmail.com</t>
  </si>
  <si>
    <t>kaviyarajasekaran07@gmail.com</t>
  </si>
  <si>
    <t>gkishore344@gmail.com</t>
  </si>
  <si>
    <t>lakshmivenkat3012@gmail.com</t>
  </si>
  <si>
    <t>lakshuraja820@gmail.com</t>
  </si>
  <si>
    <t>Narasi132006@gmail.com</t>
  </si>
  <si>
    <t>lavanya15tkr@gmail.com</t>
  </si>
  <si>
    <t>logeshwariindhra@gmail.com</t>
  </si>
  <si>
    <t>lokeshwaran1113@gmail.com</t>
  </si>
  <si>
    <t>mahalack3@gmail.com</t>
  </si>
  <si>
    <t>manomahi97015@gmail.com</t>
  </si>
  <si>
    <t>manojmuthus09@gmail.com</t>
  </si>
  <si>
    <t>megalajothi2006@gmail.com</t>
  </si>
  <si>
    <t>mohammedkarim786687@gmail.com</t>
  </si>
  <si>
    <t>Mohamedriyaaz01@gmail.com</t>
  </si>
  <si>
    <t>mohanasris15@gmail.com</t>
  </si>
  <si>
    <t>mouniravi2006@gmail.com</t>
  </si>
  <si>
    <t>mugimugilan089@gmail.com</t>
  </si>
  <si>
    <t>muthukumar30154@gmail.com</t>
  </si>
  <si>
    <t>mythiliayyanar452@gmail.com</t>
  </si>
  <si>
    <t>kiruthiga784@gmail.com</t>
  </si>
  <si>
    <t>nandhithrraj@gmail.com</t>
  </si>
  <si>
    <t>preethiravichandran2920@gmail.com</t>
  </si>
  <si>
    <t>krishnakumar7639166@gmail.com</t>
  </si>
  <si>
    <t>kamaleshvarsaminathan@gmail.com</t>
  </si>
  <si>
    <t>bhanutejabtechcse@gmail.com</t>
  </si>
  <si>
    <t>naveen2005@gmail.com</t>
  </si>
  <si>
    <t>naveenganesan0702@gmail.com</t>
  </si>
  <si>
    <t>nirmalsankar8124@gmail.com</t>
  </si>
  <si>
    <t>padmasri28706@gmail.com</t>
  </si>
  <si>
    <t>parveenrasulkhan@gmail.com</t>
  </si>
  <si>
    <t>pooja.r3118@gmail.com</t>
  </si>
  <si>
    <t xml:space="preserve">prabakarana.k2006@gmail.com </t>
  </si>
  <si>
    <t>saprasath15@gmail.com</t>
  </si>
  <si>
    <t>raghunathanamirtha@gmail.com</t>
  </si>
  <si>
    <t>eerajesh545@gmail.com</t>
  </si>
  <si>
    <t>rajeshprabu811@gmail.com</t>
  </si>
  <si>
    <t>rajiisrajeswari@gmail.com</t>
  </si>
  <si>
    <t>rockyadesh25@gmail.com</t>
  </si>
  <si>
    <t>vasugirajasekaran3@gmail.com</t>
  </si>
  <si>
    <t>ranjithsankar108@gmail.com</t>
  </si>
  <si>
    <t>roshing2006@gmail.com</t>
  </si>
  <si>
    <t>vijaysaradha27@gmail.com</t>
  </si>
  <si>
    <t>moorthyruthra739@gmail.com</t>
  </si>
  <si>
    <t>sevarshini1426@gmail.com</t>
  </si>
  <si>
    <t>sxndyofficixl01@gmail.com</t>
  </si>
  <si>
    <t>saranyasegar345@gmail.com</t>
  </si>
  <si>
    <t>saravanaselvam1909@gmail.com</t>
  </si>
  <si>
    <t>sasthadharshan@gmail.com</t>
  </si>
  <si>
    <t>sethurajan956@gmail.com</t>
  </si>
  <si>
    <t>shajithafareen@gmail.com</t>
  </si>
  <si>
    <t>shaminiddesingu3007@gmail.com</t>
  </si>
  <si>
    <t>ky832713@gmail.com</t>
  </si>
  <si>
    <t>shivanivasanthi2005@gmail.com</t>
  </si>
  <si>
    <t>stylishangel2006@gmail.com</t>
  </si>
  <si>
    <t>velan899@gmail.com</t>
  </si>
  <si>
    <t>sivakarnan03@gmail.com</t>
  </si>
  <si>
    <t>2000sridhar29@gmail.com</t>
  </si>
  <si>
    <t>srikanthsrikanth58719@gmail.com</t>
  </si>
  <si>
    <t>itsmesrikanthv@gmail.com</t>
  </si>
  <si>
    <t>itssriram612@gmail.com</t>
  </si>
  <si>
    <t>subasadish@gmail.com</t>
  </si>
  <si>
    <t>sundar252006@gmail.com</t>
  </si>
  <si>
    <t>sunxd03@gmail.com</t>
  </si>
  <si>
    <t>swethajayaprakash31@gmail.com</t>
  </si>
  <si>
    <t>syedjakirhussain31@gmail.com</t>
  </si>
  <si>
    <t>selvanthamizh272@gmail.com</t>
  </si>
  <si>
    <t>tshri2006@gmail.com</t>
  </si>
  <si>
    <t>tharunsk6782@gmail.com</t>
  </si>
  <si>
    <t>thilagavthilagav79@gmail.com</t>
  </si>
  <si>
    <t>vanithalvanithal73@gmail.com</t>
  </si>
  <si>
    <t>vigneshraja17vpy@gmail.com</t>
  </si>
  <si>
    <t>saivimal2006@gmail.com</t>
  </si>
  <si>
    <t>Vinoshricse@gmail.com</t>
  </si>
  <si>
    <t>vivinejoan27@gmail.com</t>
  </si>
  <si>
    <t>yamunaarthi214@gmail.com</t>
  </si>
  <si>
    <t>yugeshviji0907@gmail.com</t>
  </si>
  <si>
    <t>yuvashri3006@gamil.com</t>
  </si>
  <si>
    <t>amirthavarshini081@gmail.com</t>
  </si>
  <si>
    <t>Year: III         Department:  AI&amp;DS</t>
  </si>
  <si>
    <t>23TP0001</t>
  </si>
  <si>
    <t>23TP0002</t>
  </si>
  <si>
    <t>23TP0003</t>
  </si>
  <si>
    <t>23TP0004</t>
  </si>
  <si>
    <t>23TP0005</t>
  </si>
  <si>
    <t>23TP0006</t>
  </si>
  <si>
    <t>23TP0007</t>
  </si>
  <si>
    <t>23TP0009</t>
  </si>
  <si>
    <t>23TP0010</t>
  </si>
  <si>
    <t>23TP0011</t>
  </si>
  <si>
    <t>23TP0012</t>
  </si>
  <si>
    <t>23TP0014</t>
  </si>
  <si>
    <t>23TP0015</t>
  </si>
  <si>
    <t>23TP0016</t>
  </si>
  <si>
    <t>23TP0018</t>
  </si>
  <si>
    <t>23TP0019</t>
  </si>
  <si>
    <t>23TP0020</t>
  </si>
  <si>
    <t>23TP0021</t>
  </si>
  <si>
    <t>23TP0022</t>
  </si>
  <si>
    <t>23TP0023</t>
  </si>
  <si>
    <t>23TP0025</t>
  </si>
  <si>
    <t>23TP0027</t>
  </si>
  <si>
    <t>23TP0028</t>
  </si>
  <si>
    <t>23TP0029</t>
  </si>
  <si>
    <t>23TP0030</t>
  </si>
  <si>
    <t>23TP0031</t>
  </si>
  <si>
    <t>23TP0032</t>
  </si>
  <si>
    <t>23TP0033</t>
  </si>
  <si>
    <t>23TP0034</t>
  </si>
  <si>
    <t>23TP0035</t>
  </si>
  <si>
    <t>23TP0036</t>
  </si>
  <si>
    <t>23TP0037</t>
  </si>
  <si>
    <t>23TP0038</t>
  </si>
  <si>
    <t>23TP0039</t>
  </si>
  <si>
    <t>23TP0040</t>
  </si>
  <si>
    <t>23TP0041</t>
  </si>
  <si>
    <t>23TP0042</t>
  </si>
  <si>
    <t>23TP0043</t>
  </si>
  <si>
    <t>23TP0044</t>
  </si>
  <si>
    <t>23TP0045</t>
  </si>
  <si>
    <t>23TP0046</t>
  </si>
  <si>
    <t>23TP0047</t>
  </si>
  <si>
    <t>23TP0048</t>
  </si>
  <si>
    <t>23TP0049</t>
  </si>
  <si>
    <t>23TP0050</t>
  </si>
  <si>
    <t>24TP0051</t>
  </si>
  <si>
    <t>23TP0052</t>
  </si>
  <si>
    <t>23TP0053</t>
  </si>
  <si>
    <t>23TP0054</t>
  </si>
  <si>
    <t>23TP0055</t>
  </si>
  <si>
    <t>23TP0056</t>
  </si>
  <si>
    <t>23TP0057</t>
  </si>
  <si>
    <t>23TPL001</t>
  </si>
  <si>
    <t>ABHISHEK ANTONY</t>
  </si>
  <si>
    <t>ADITYA G</t>
  </si>
  <si>
    <t>DEEPA T</t>
  </si>
  <si>
    <t>DEEPAK A</t>
  </si>
  <si>
    <t>DHANUSYA D</t>
  </si>
  <si>
    <t>DHINAGAR K</t>
  </si>
  <si>
    <t>DHUSHYANTH L</t>
  </si>
  <si>
    <t>GANAPATHIRAJ S</t>
  </si>
  <si>
    <t>GOPI NATH P</t>
  </si>
  <si>
    <t>V.S. HARI HARAN</t>
  </si>
  <si>
    <t>HRITHIK K</t>
  </si>
  <si>
    <t>HRITHIK P</t>
  </si>
  <si>
    <t>JAYANITHASRI R</t>
  </si>
  <si>
    <t>JEEVANANDHAM S</t>
  </si>
  <si>
    <t>J KAAMESH</t>
  </si>
  <si>
    <t>KANIMOZHI V</t>
  </si>
  <si>
    <t>KAYALVIZHI M</t>
  </si>
  <si>
    <t>KEERTHANA DEVI M</t>
  </si>
  <si>
    <t>KIRUBESHVARMAN T</t>
  </si>
  <si>
    <t>KISHORE V</t>
  </si>
  <si>
    <t>KOKULAVARTHINI T</t>
  </si>
  <si>
    <t>LAKSHAYA P</t>
  </si>
  <si>
    <t>MAIDEEN VAVASI A</t>
  </si>
  <si>
    <t>MANINATHAN J</t>
  </si>
  <si>
    <t>MEGANAN V</t>
  </si>
  <si>
    <t>MIDHUN S</t>
  </si>
  <si>
    <t>MOHAMED RIZWAN R</t>
  </si>
  <si>
    <t>MOHANA MAHALAKSHMI S</t>
  </si>
  <si>
    <t>R MOHANRAJ</t>
  </si>
  <si>
    <t>MUGILLAN</t>
  </si>
  <si>
    <t>NARESH N</t>
  </si>
  <si>
    <t>NARTHANAM R</t>
  </si>
  <si>
    <t>NISHANTHI J</t>
  </si>
  <si>
    <t>PRASANTH K</t>
  </si>
  <si>
    <t>PRASANTH MG</t>
  </si>
  <si>
    <t>PREMALATHA S</t>
  </si>
  <si>
    <t>RAJ KUMAR N</t>
  </si>
  <si>
    <t>RAJASEKAR V</t>
  </si>
  <si>
    <t>RASHEEQA SABREEN Z</t>
  </si>
  <si>
    <t>RASHIKA V</t>
  </si>
  <si>
    <t>RUBINI T</t>
  </si>
  <si>
    <t>RUTHRAKARAN J</t>
  </si>
  <si>
    <t>SANDHIYA J</t>
  </si>
  <si>
    <t>SELVA KUMARAN</t>
  </si>
  <si>
    <t>SHAJITH ANWAR A</t>
  </si>
  <si>
    <t>SIVANARAYANAN M</t>
  </si>
  <si>
    <t>SIVASAKTHI M</t>
  </si>
  <si>
    <t>SUDARSHANA V R</t>
  </si>
  <si>
    <t>THAYJASHWARAN S</t>
  </si>
  <si>
    <t>THIRISHA M</t>
  </si>
  <si>
    <t>VIJAYAKUMAR A</t>
  </si>
  <si>
    <t>VISHALI K</t>
  </si>
  <si>
    <t>LOSHITHRAJ</t>
  </si>
  <si>
    <t>Assessment 2</t>
  </si>
  <si>
    <t>Assessment 3</t>
  </si>
  <si>
    <t>sathishk26986@gmail.com</t>
  </si>
  <si>
    <t>bathulaissacvijay@gmail.com</t>
  </si>
  <si>
    <t>arokiarajselvi84@gmail.com</t>
  </si>
  <si>
    <t>saranya2221988@gmail.com</t>
  </si>
  <si>
    <t>kuppussmysuburayan@gmail.com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</si>
</sst>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434343"/>
      <name val="Times New Roman"/>
      <family val="1"/>
    </font>
    <font>
      <sz val="10"/>
      <color rgb="FF000000"/>
      <name val="Times New Roman"/>
      <family val="1"/>
    </font>
    <font>
      <u/>
      <sz val="11"/>
      <color theme="1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40">
    <xf numFmtId="0" fontId="0" fillId="0" borderId="0" xfId="0"/>
    <xf numFmtId="0" fontId="0" fillId="0" borderId="1" xfId="0" applyBorder="1" applyAlignment="1">
      <alignment horizontal="left"/>
    </xf>
    <xf numFmtId="0" fontId="1" fillId="0" borderId="0" xfId="0" applyFont="1"/>
    <xf numFmtId="0" fontId="0" fillId="2" borderId="0" xfId="0" applyFill="1"/>
    <xf numFmtId="0" fontId="1" fillId="3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14" fontId="1" fillId="3" borderId="1" xfId="0" applyNumberFormat="1" applyFont="1" applyFill="1" applyBorder="1" applyAlignment="1">
      <alignment horizontal="left"/>
    </xf>
    <xf numFmtId="0" fontId="1" fillId="4" borderId="4" xfId="0" applyFont="1" applyFill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5" borderId="1" xfId="0" applyFill="1" applyBorder="1" applyAlignment="1">
      <alignment horizontal="center"/>
    </xf>
    <xf numFmtId="49" fontId="1" fillId="6" borderId="1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vertical="top"/>
    </xf>
    <xf numFmtId="0" fontId="1" fillId="7" borderId="1" xfId="0" applyFont="1" applyFill="1" applyBorder="1"/>
    <xf numFmtId="0" fontId="5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6" fillId="0" borderId="1" xfId="0" applyFont="1" applyBorder="1"/>
    <xf numFmtId="0" fontId="5" fillId="0" borderId="6" xfId="0" applyFont="1" applyBorder="1" applyAlignment="1">
      <alignment horizontal="center"/>
    </xf>
    <xf numFmtId="0" fontId="5" fillId="0" borderId="1" xfId="0" applyFont="1" applyBorder="1"/>
    <xf numFmtId="0" fontId="5" fillId="8" borderId="1" xfId="0" applyFont="1" applyFill="1" applyBorder="1"/>
    <xf numFmtId="0" fontId="5" fillId="0" borderId="6" xfId="0" applyFont="1" applyBorder="1"/>
    <xf numFmtId="0" fontId="6" fillId="0" borderId="1" xfId="0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7" fillId="9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3" fillId="0" borderId="1" xfId="1" applyBorder="1" applyAlignment="1">
      <alignment horizontal="left"/>
    </xf>
    <xf numFmtId="0" fontId="8" fillId="0" borderId="6" xfId="0" applyFont="1" applyBorder="1" applyAlignment="1">
      <alignment horizontal="left"/>
    </xf>
    <xf numFmtId="0" fontId="9" fillId="0" borderId="6" xfId="1" applyFont="1" applyBorder="1" applyAlignment="1">
      <alignment horizontal="left"/>
    </xf>
    <xf numFmtId="0" fontId="3" fillId="0" borderId="6" xfId="1" applyBorder="1" applyAlignment="1">
      <alignment horizontal="left"/>
    </xf>
    <xf numFmtId="0" fontId="6" fillId="0" borderId="1" xfId="0" applyFont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right"/>
    </xf>
    <xf numFmtId="0" fontId="2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6351</xdr:rowOff>
    </xdr:from>
    <xdr:to>
      <xdr:col>2</xdr:col>
      <xdr:colOff>425450</xdr:colOff>
      <xdr:row>2</xdr:row>
      <xdr:rowOff>38101</xdr:rowOff>
    </xdr:to>
    <xdr:pic>
      <xdr:nvPicPr>
        <xdr:cNvPr id="2" name="Imag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6351"/>
          <a:ext cx="1676400" cy="425450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0</xdr:row>
      <xdr:rowOff>0</xdr:rowOff>
    </xdr:from>
    <xdr:to>
      <xdr:col>9</xdr:col>
      <xdr:colOff>692150</xdr:colOff>
      <xdr:row>2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0" y="0"/>
          <a:ext cx="1517650" cy="393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184151</xdr:colOff>
      <xdr:row>0</xdr:row>
      <xdr:rowOff>1</xdr:rowOff>
    </xdr:from>
    <xdr:to>
      <xdr:col>2</xdr:col>
      <xdr:colOff>501651</xdr:colOff>
      <xdr:row>1</xdr:row>
      <xdr:rowOff>146051</xdr:rowOff>
    </xdr:to>
    <xdr:pic>
      <xdr:nvPicPr>
        <xdr:cNvPr id="2" name="Image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4151" y="1"/>
          <a:ext cx="1568450" cy="3429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0</xdr:row>
      <xdr:rowOff>0</xdr:rowOff>
    </xdr:from>
    <xdr:to>
      <xdr:col>8</xdr:col>
      <xdr:colOff>635000</xdr:colOff>
      <xdr:row>2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53550" y="0"/>
          <a:ext cx="1517650" cy="39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thishk26986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roshing2006@gmail.com" TargetMode="External"/><Relationship Id="rId7" Type="http://schemas.openxmlformats.org/officeDocument/2006/relationships/hyperlink" Target="mailto:bathulaissacvijay@gmail.com" TargetMode="External"/><Relationship Id="rId12" Type="http://schemas.openxmlformats.org/officeDocument/2006/relationships/hyperlink" Target="mailto:saranya2221988@gmail.com" TargetMode="External"/><Relationship Id="rId2" Type="http://schemas.openxmlformats.org/officeDocument/2006/relationships/hyperlink" Target="mailto:kamaleshvarsaminathan@gmail.com" TargetMode="External"/><Relationship Id="rId1" Type="http://schemas.openxmlformats.org/officeDocument/2006/relationships/hyperlink" Target="mailto:preethiravichandran2920@gmail.com" TargetMode="External"/><Relationship Id="rId6" Type="http://schemas.openxmlformats.org/officeDocument/2006/relationships/hyperlink" Target="mailto:abesheakaberam@gmail.com" TargetMode="External"/><Relationship Id="rId11" Type="http://schemas.openxmlformats.org/officeDocument/2006/relationships/hyperlink" Target="mailto:prabakarana.k2006@gmail.com" TargetMode="External"/><Relationship Id="rId5" Type="http://schemas.openxmlformats.org/officeDocument/2006/relationships/hyperlink" Target="mailto:akshiayav@gmail.com" TargetMode="External"/><Relationship Id="rId10" Type="http://schemas.openxmlformats.org/officeDocument/2006/relationships/hyperlink" Target="mailto:kuppussmysuburayan@gmail.com" TargetMode="External"/><Relationship Id="rId4" Type="http://schemas.openxmlformats.org/officeDocument/2006/relationships/hyperlink" Target="mailto:sundar252006@gmail.com" TargetMode="External"/><Relationship Id="rId9" Type="http://schemas.openxmlformats.org/officeDocument/2006/relationships/hyperlink" Target="mailto:arokiarajselvi84@gmail.com" TargetMode="Externa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remalathasathish604@gmail.com" TargetMode="External"/><Relationship Id="rId2" Type="http://schemas.openxmlformats.org/officeDocument/2006/relationships/hyperlink" Target="mailto:nishanthij2003@gmail.com" TargetMode="External"/><Relationship Id="rId1" Type="http://schemas.openxmlformats.org/officeDocument/2006/relationships/hyperlink" Target="mailto:phrithik77@gmail.com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mailto:nishanthij2003@gmail.com" TargetMode="External"/><Relationship Id="rId4" Type="http://schemas.openxmlformats.org/officeDocument/2006/relationships/hyperlink" Target="mailto:rajk566929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0"/>
  <sheetViews>
    <sheetView tabSelected="1" workbookViewId="0">
      <selection activeCell="C6" sqref="C6:C118"/>
    </sheetView>
  </sheetViews>
  <sheetFormatPr defaultRowHeight="14.4" x14ac:dyDescent="0.3"/>
  <cols>
    <col min="1" max="1" width="5.44140625" customWidth="1"/>
    <col min="2" max="2" width="12.44140625" customWidth="1"/>
    <col min="3" max="3" width="34.77734375" customWidth="1"/>
    <col min="4" max="4" width="11.5546875" customWidth="1"/>
    <col min="5" max="5" width="42.77734375" customWidth="1"/>
    <col min="6" max="6" width="13.21875" style="2" bestFit="1" customWidth="1"/>
    <col min="7" max="8" width="13.21875" bestFit="1" customWidth="1"/>
    <col min="9" max="9" width="12.5546875" customWidth="1"/>
    <col min="10" max="10" width="18" customWidth="1"/>
    <col min="11" max="11" width="12.5546875" customWidth="1"/>
    <col min="12" max="12" width="14.21875" bestFit="1" customWidth="1"/>
    <col min="13" max="13" width="14.21875" style="8" bestFit="1" customWidth="1"/>
    <col min="14" max="15" width="14.21875" bestFit="1" customWidth="1"/>
  </cols>
  <sheetData>
    <row r="1" spans="1:15" s="3" customFormat="1" ht="15.6" x14ac:dyDescent="0.3">
      <c r="A1" s="36" t="s">
        <v>19</v>
      </c>
      <c r="B1" s="36"/>
      <c r="C1" s="36"/>
      <c r="D1" s="36"/>
      <c r="E1" s="36"/>
      <c r="F1" s="36"/>
      <c r="G1" s="36"/>
      <c r="H1" s="36"/>
      <c r="I1" s="36"/>
      <c r="J1" s="36"/>
    </row>
    <row r="2" spans="1:15" s="3" customFormat="1" ht="15.6" x14ac:dyDescent="0.3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</row>
    <row r="3" spans="1:15" s="3" customFormat="1" x14ac:dyDescent="0.3">
      <c r="A3" s="37" t="s">
        <v>20</v>
      </c>
      <c r="B3" s="37"/>
      <c r="C3" s="37"/>
      <c r="D3" s="37"/>
      <c r="E3" s="37"/>
      <c r="F3" s="37"/>
      <c r="G3" s="37"/>
      <c r="H3" s="37"/>
      <c r="I3" s="37"/>
      <c r="J3" s="37"/>
    </row>
    <row r="4" spans="1:15" x14ac:dyDescent="0.3">
      <c r="A4" s="38" t="s">
        <v>1</v>
      </c>
      <c r="B4" s="39"/>
      <c r="C4" s="39"/>
      <c r="D4" s="39"/>
      <c r="E4" s="39"/>
      <c r="F4" s="7" t="s">
        <v>15</v>
      </c>
      <c r="G4" s="7" t="s">
        <v>514</v>
      </c>
      <c r="H4" s="7" t="s">
        <v>515</v>
      </c>
      <c r="I4" s="7"/>
      <c r="J4" s="7"/>
      <c r="K4" s="7"/>
      <c r="L4" s="7"/>
      <c r="M4" s="7"/>
      <c r="N4" s="7"/>
      <c r="O4" s="7"/>
    </row>
    <row r="5" spans="1:15" x14ac:dyDescent="0.3">
      <c r="A5" s="4" t="s">
        <v>2</v>
      </c>
      <c r="B5" s="5" t="s">
        <v>5</v>
      </c>
      <c r="C5" s="4" t="s">
        <v>3</v>
      </c>
      <c r="D5" s="4" t="s">
        <v>6</v>
      </c>
      <c r="E5" s="4" t="s">
        <v>7</v>
      </c>
      <c r="F5" s="6">
        <v>46063</v>
      </c>
      <c r="G5" s="6">
        <v>46064</v>
      </c>
      <c r="H5" s="6">
        <v>46065</v>
      </c>
      <c r="I5" s="6"/>
      <c r="J5" s="6"/>
      <c r="K5" s="6"/>
      <c r="L5" s="6"/>
      <c r="M5" s="6"/>
      <c r="N5" s="6"/>
      <c r="O5" s="6"/>
    </row>
    <row r="6" spans="1:15" ht="15.6" x14ac:dyDescent="0.3">
      <c r="A6" s="9">
        <v>1</v>
      </c>
      <c r="B6" s="15" t="s">
        <v>21</v>
      </c>
      <c r="C6" s="19" t="s">
        <v>134</v>
      </c>
      <c r="D6" s="11" t="s">
        <v>245</v>
      </c>
      <c r="E6" s="27" t="s">
        <v>299</v>
      </c>
      <c r="F6" s="10">
        <v>58</v>
      </c>
      <c r="G6" s="10" t="s">
        <v>16</v>
      </c>
      <c r="H6" s="10" t="s">
        <v>16</v>
      </c>
      <c r="I6" s="10"/>
      <c r="J6" s="10"/>
      <c r="K6" s="10"/>
      <c r="L6" s="10"/>
      <c r="M6" s="1"/>
      <c r="N6" s="1"/>
      <c r="O6" s="1"/>
    </row>
    <row r="7" spans="1:15" ht="15.6" x14ac:dyDescent="0.3">
      <c r="A7" s="9">
        <v>2</v>
      </c>
      <c r="B7" s="15" t="s">
        <v>22</v>
      </c>
      <c r="C7" s="19" t="s">
        <v>135</v>
      </c>
      <c r="D7" s="11" t="s">
        <v>245</v>
      </c>
      <c r="E7" s="28" t="s">
        <v>300</v>
      </c>
      <c r="F7" s="10">
        <v>60</v>
      </c>
      <c r="G7" s="10" t="s">
        <v>16</v>
      </c>
      <c r="H7" s="10" t="s">
        <v>16</v>
      </c>
      <c r="I7" s="10"/>
      <c r="J7" s="10"/>
      <c r="K7" s="10"/>
      <c r="L7" s="10"/>
      <c r="M7" s="1"/>
      <c r="N7" s="1"/>
      <c r="O7" s="1"/>
    </row>
    <row r="8" spans="1:15" ht="15.6" x14ac:dyDescent="0.3">
      <c r="A8" s="9">
        <v>3</v>
      </c>
      <c r="B8" s="15" t="s">
        <v>23</v>
      </c>
      <c r="C8" s="19" t="s">
        <v>136</v>
      </c>
      <c r="D8" s="11" t="s">
        <v>245</v>
      </c>
      <c r="E8" s="27" t="s">
        <v>301</v>
      </c>
      <c r="F8" s="10">
        <v>58</v>
      </c>
      <c r="G8" s="10" t="s">
        <v>16</v>
      </c>
      <c r="H8" s="10" t="s">
        <v>16</v>
      </c>
      <c r="I8" s="10"/>
      <c r="J8" s="10"/>
      <c r="K8" s="10"/>
      <c r="L8" s="10"/>
      <c r="M8" s="1"/>
      <c r="N8" s="1"/>
      <c r="O8" s="1"/>
    </row>
    <row r="9" spans="1:15" ht="15.6" x14ac:dyDescent="0.3">
      <c r="A9" s="9">
        <v>4</v>
      </c>
      <c r="B9" s="15" t="s">
        <v>24</v>
      </c>
      <c r="C9" s="19" t="s">
        <v>137</v>
      </c>
      <c r="D9" s="11" t="s">
        <v>245</v>
      </c>
      <c r="E9" s="27" t="s">
        <v>302</v>
      </c>
      <c r="F9" s="10">
        <v>60</v>
      </c>
      <c r="G9" s="10">
        <v>16</v>
      </c>
      <c r="H9" s="10" t="s">
        <v>16</v>
      </c>
      <c r="I9" s="10"/>
      <c r="J9" s="10"/>
      <c r="K9" s="10"/>
      <c r="L9" s="10"/>
      <c r="M9" s="1"/>
      <c r="N9" s="1"/>
      <c r="O9" s="1"/>
    </row>
    <row r="10" spans="1:15" ht="15.6" x14ac:dyDescent="0.3">
      <c r="A10" s="9">
        <v>5</v>
      </c>
      <c r="B10" s="15" t="s">
        <v>25</v>
      </c>
      <c r="C10" s="19" t="s">
        <v>138</v>
      </c>
      <c r="D10" s="11" t="s">
        <v>245</v>
      </c>
      <c r="E10" s="28" t="s">
        <v>303</v>
      </c>
      <c r="F10" s="10" t="s">
        <v>16</v>
      </c>
      <c r="G10" s="10" t="s">
        <v>16</v>
      </c>
      <c r="H10" s="10" t="s">
        <v>16</v>
      </c>
      <c r="I10" s="10"/>
      <c r="J10" s="10"/>
      <c r="K10" s="10"/>
      <c r="L10" s="10"/>
      <c r="M10" s="1"/>
      <c r="N10" s="1"/>
      <c r="O10" s="1"/>
    </row>
    <row r="11" spans="1:15" ht="15.6" x14ac:dyDescent="0.3">
      <c r="A11" s="9">
        <v>6</v>
      </c>
      <c r="B11" s="15" t="s">
        <v>26</v>
      </c>
      <c r="C11" s="19" t="s">
        <v>139</v>
      </c>
      <c r="D11" s="11" t="s">
        <v>245</v>
      </c>
      <c r="E11" s="27" t="s">
        <v>304</v>
      </c>
      <c r="F11" s="10">
        <v>60</v>
      </c>
      <c r="G11" s="10">
        <v>58</v>
      </c>
      <c r="H11" s="10">
        <v>58</v>
      </c>
      <c r="I11" s="10"/>
      <c r="J11" s="10"/>
      <c r="K11" s="10"/>
      <c r="L11" s="10"/>
      <c r="M11" s="1"/>
      <c r="N11" s="1"/>
      <c r="O11" s="1"/>
    </row>
    <row r="12" spans="1:15" ht="15.6" x14ac:dyDescent="0.3">
      <c r="A12" s="9">
        <v>7</v>
      </c>
      <c r="B12" s="15" t="s">
        <v>27</v>
      </c>
      <c r="C12" s="19" t="s">
        <v>140</v>
      </c>
      <c r="D12" s="11" t="s">
        <v>245</v>
      </c>
      <c r="E12" s="27" t="s">
        <v>305</v>
      </c>
      <c r="F12" s="10" t="s">
        <v>16</v>
      </c>
      <c r="G12" s="10" t="s">
        <v>16</v>
      </c>
      <c r="H12" s="10">
        <v>60</v>
      </c>
      <c r="I12" s="10"/>
      <c r="J12" s="10"/>
      <c r="K12" s="10"/>
      <c r="L12" s="10"/>
      <c r="M12" s="1"/>
      <c r="N12" s="1"/>
      <c r="O12" s="1"/>
    </row>
    <row r="13" spans="1:15" ht="15.6" x14ac:dyDescent="0.3">
      <c r="A13" s="9">
        <v>8</v>
      </c>
      <c r="B13" s="15" t="s">
        <v>28</v>
      </c>
      <c r="C13" s="19" t="s">
        <v>141</v>
      </c>
      <c r="D13" s="11" t="s">
        <v>245</v>
      </c>
      <c r="E13" s="27" t="s">
        <v>306</v>
      </c>
      <c r="F13" s="10">
        <v>32</v>
      </c>
      <c r="G13" s="10">
        <v>36</v>
      </c>
      <c r="H13" s="10" t="s">
        <v>16</v>
      </c>
      <c r="I13" s="10"/>
      <c r="J13" s="10"/>
      <c r="K13" s="10"/>
      <c r="L13" s="10"/>
      <c r="M13" s="1"/>
      <c r="N13" s="1"/>
      <c r="O13" s="1"/>
    </row>
    <row r="14" spans="1:15" ht="15.6" x14ac:dyDescent="0.3">
      <c r="A14" s="9">
        <v>9</v>
      </c>
      <c r="B14" s="15" t="s">
        <v>29</v>
      </c>
      <c r="C14" s="19" t="s">
        <v>142</v>
      </c>
      <c r="D14" s="11" t="s">
        <v>245</v>
      </c>
      <c r="E14" s="27" t="s">
        <v>307</v>
      </c>
      <c r="F14" s="10">
        <v>44</v>
      </c>
      <c r="G14" s="10">
        <v>0</v>
      </c>
      <c r="H14" s="10" t="s">
        <v>16</v>
      </c>
      <c r="I14" s="10"/>
      <c r="J14" s="10"/>
      <c r="K14" s="10"/>
      <c r="L14" s="10"/>
      <c r="M14" s="1"/>
      <c r="N14" s="1"/>
      <c r="O14" s="1"/>
    </row>
    <row r="15" spans="1:15" ht="15.6" x14ac:dyDescent="0.3">
      <c r="A15" s="9">
        <v>10</v>
      </c>
      <c r="B15" s="15" t="s">
        <v>30</v>
      </c>
      <c r="C15" s="19" t="s">
        <v>143</v>
      </c>
      <c r="D15" s="11" t="s">
        <v>245</v>
      </c>
      <c r="E15" s="27" t="s">
        <v>308</v>
      </c>
      <c r="F15" s="10">
        <v>48</v>
      </c>
      <c r="G15" s="10">
        <v>60</v>
      </c>
      <c r="H15" s="10">
        <v>56</v>
      </c>
      <c r="I15" s="10"/>
      <c r="J15" s="10"/>
      <c r="K15" s="10"/>
      <c r="L15" s="10"/>
      <c r="M15" s="1"/>
      <c r="N15" s="1"/>
      <c r="O15" s="1"/>
    </row>
    <row r="16" spans="1:15" ht="15.6" x14ac:dyDescent="0.3">
      <c r="A16" s="9">
        <v>11</v>
      </c>
      <c r="B16" s="15" t="s">
        <v>31</v>
      </c>
      <c r="C16" s="19" t="s">
        <v>144</v>
      </c>
      <c r="D16" s="11" t="s">
        <v>245</v>
      </c>
      <c r="E16" s="27" t="s">
        <v>309</v>
      </c>
      <c r="F16" s="10">
        <v>58</v>
      </c>
      <c r="G16" s="10">
        <v>60</v>
      </c>
      <c r="H16" s="10">
        <v>60</v>
      </c>
      <c r="I16" s="10"/>
      <c r="J16" s="10"/>
      <c r="K16" s="10"/>
      <c r="L16" s="10"/>
      <c r="M16" s="1"/>
      <c r="N16" s="1"/>
      <c r="O16" s="1"/>
    </row>
    <row r="17" spans="1:15" ht="15.6" x14ac:dyDescent="0.3">
      <c r="A17" s="9">
        <v>12</v>
      </c>
      <c r="B17" s="15" t="s">
        <v>32</v>
      </c>
      <c r="C17" s="19" t="s">
        <v>145</v>
      </c>
      <c r="D17" s="11" t="s">
        <v>245</v>
      </c>
      <c r="E17" s="28" t="s">
        <v>517</v>
      </c>
      <c r="F17" s="10">
        <v>64</v>
      </c>
      <c r="G17" s="10">
        <v>60</v>
      </c>
      <c r="H17" s="10">
        <v>58</v>
      </c>
      <c r="I17" s="10"/>
      <c r="J17" s="10"/>
      <c r="K17" s="10"/>
      <c r="L17" s="10"/>
      <c r="M17" s="1"/>
      <c r="N17" s="1"/>
      <c r="O17" s="1"/>
    </row>
    <row r="18" spans="1:15" ht="15.6" x14ac:dyDescent="0.3">
      <c r="A18" s="9">
        <v>13</v>
      </c>
      <c r="B18" s="15" t="s">
        <v>33</v>
      </c>
      <c r="C18" s="19" t="s">
        <v>146</v>
      </c>
      <c r="D18" s="11" t="s">
        <v>245</v>
      </c>
      <c r="E18" s="27" t="s">
        <v>310</v>
      </c>
      <c r="F18" s="10">
        <v>60</v>
      </c>
      <c r="G18" s="10">
        <v>60</v>
      </c>
      <c r="H18" s="10">
        <v>56</v>
      </c>
      <c r="I18" s="10"/>
      <c r="J18" s="10"/>
      <c r="K18" s="10"/>
      <c r="L18" s="10"/>
      <c r="M18" s="1"/>
      <c r="N18" s="1"/>
      <c r="O18" s="1"/>
    </row>
    <row r="19" spans="1:15" ht="15.6" x14ac:dyDescent="0.3">
      <c r="A19" s="9">
        <v>14</v>
      </c>
      <c r="B19" s="15" t="s">
        <v>34</v>
      </c>
      <c r="C19" s="19" t="s">
        <v>147</v>
      </c>
      <c r="D19" s="11" t="s">
        <v>245</v>
      </c>
      <c r="E19" s="27" t="s">
        <v>311</v>
      </c>
      <c r="F19" s="10" t="s">
        <v>16</v>
      </c>
      <c r="G19" s="10" t="s">
        <v>16</v>
      </c>
      <c r="H19" s="10" t="s">
        <v>16</v>
      </c>
      <c r="I19" s="10"/>
      <c r="J19" s="10"/>
      <c r="K19" s="10"/>
      <c r="L19" s="10"/>
      <c r="M19" s="1"/>
      <c r="N19" s="1"/>
      <c r="O19" s="1"/>
    </row>
    <row r="20" spans="1:15" ht="15.6" x14ac:dyDescent="0.3">
      <c r="A20" s="9">
        <v>15</v>
      </c>
      <c r="B20" s="16" t="s">
        <v>35</v>
      </c>
      <c r="C20" s="20" t="s">
        <v>148</v>
      </c>
      <c r="D20" s="11" t="s">
        <v>245</v>
      </c>
      <c r="E20" s="27" t="s">
        <v>312</v>
      </c>
      <c r="F20" s="10">
        <v>60</v>
      </c>
      <c r="G20" s="10">
        <v>60</v>
      </c>
      <c r="H20" s="10">
        <v>58</v>
      </c>
      <c r="I20" s="10"/>
      <c r="J20" s="10"/>
      <c r="K20" s="10"/>
      <c r="L20" s="10"/>
      <c r="M20" s="1"/>
      <c r="N20" s="1"/>
      <c r="O20" s="1"/>
    </row>
    <row r="21" spans="1:15" ht="15.6" x14ac:dyDescent="0.3">
      <c r="A21" s="9">
        <v>16</v>
      </c>
      <c r="B21" s="15" t="s">
        <v>36</v>
      </c>
      <c r="C21" s="19" t="s">
        <v>149</v>
      </c>
      <c r="D21" s="11" t="s">
        <v>245</v>
      </c>
      <c r="E21" s="27" t="s">
        <v>313</v>
      </c>
      <c r="F21" s="10">
        <v>60</v>
      </c>
      <c r="G21" s="10">
        <v>58</v>
      </c>
      <c r="H21" s="10" t="s">
        <v>16</v>
      </c>
      <c r="I21" s="10"/>
      <c r="J21" s="10"/>
      <c r="K21" s="10"/>
      <c r="L21" s="10"/>
      <c r="M21" s="1"/>
      <c r="N21" s="1"/>
      <c r="O21" s="1"/>
    </row>
    <row r="22" spans="1:15" ht="15.6" x14ac:dyDescent="0.3">
      <c r="A22" s="9">
        <v>17</v>
      </c>
      <c r="B22" s="15" t="s">
        <v>37</v>
      </c>
      <c r="C22" s="19" t="s">
        <v>150</v>
      </c>
      <c r="D22" s="11" t="s">
        <v>245</v>
      </c>
      <c r="E22" s="27" t="s">
        <v>314</v>
      </c>
      <c r="F22" s="10">
        <v>58</v>
      </c>
      <c r="G22" s="10">
        <v>58</v>
      </c>
      <c r="H22" s="10" t="s">
        <v>16</v>
      </c>
      <c r="I22" s="10"/>
      <c r="J22" s="10"/>
      <c r="K22" s="10"/>
      <c r="L22" s="10"/>
      <c r="M22" s="1"/>
      <c r="N22" s="1"/>
      <c r="O22" s="1"/>
    </row>
    <row r="23" spans="1:15" ht="15.6" x14ac:dyDescent="0.3">
      <c r="A23" s="9">
        <v>18</v>
      </c>
      <c r="B23" s="15" t="s">
        <v>38</v>
      </c>
      <c r="C23" s="19" t="s">
        <v>151</v>
      </c>
      <c r="D23" s="11" t="s">
        <v>245</v>
      </c>
      <c r="E23" s="27" t="s">
        <v>315</v>
      </c>
      <c r="F23" s="10">
        <v>58</v>
      </c>
      <c r="G23" s="10">
        <v>58</v>
      </c>
      <c r="H23" s="10">
        <v>52</v>
      </c>
      <c r="I23" s="10"/>
      <c r="J23" s="10"/>
      <c r="K23" s="10"/>
      <c r="L23" s="10"/>
      <c r="M23" s="1"/>
      <c r="N23" s="1"/>
      <c r="O23" s="1"/>
    </row>
    <row r="24" spans="1:15" ht="15.6" x14ac:dyDescent="0.3">
      <c r="A24" s="9">
        <v>19</v>
      </c>
      <c r="B24" s="15" t="s">
        <v>39</v>
      </c>
      <c r="C24" s="19" t="s">
        <v>152</v>
      </c>
      <c r="D24" s="11" t="s">
        <v>245</v>
      </c>
      <c r="E24" s="27" t="s">
        <v>316</v>
      </c>
      <c r="F24" s="10" t="s">
        <v>16</v>
      </c>
      <c r="G24" s="10" t="s">
        <v>16</v>
      </c>
      <c r="H24" s="10" t="s">
        <v>16</v>
      </c>
      <c r="I24" s="10"/>
      <c r="J24" s="10"/>
      <c r="K24" s="10"/>
      <c r="L24" s="10"/>
      <c r="M24" s="1"/>
      <c r="N24" s="1"/>
      <c r="O24" s="1"/>
    </row>
    <row r="25" spans="1:15" ht="15.6" x14ac:dyDescent="0.3">
      <c r="A25" s="9">
        <v>20</v>
      </c>
      <c r="B25" s="15" t="s">
        <v>40</v>
      </c>
      <c r="C25" s="19" t="s">
        <v>153</v>
      </c>
      <c r="D25" s="11" t="s">
        <v>245</v>
      </c>
      <c r="E25" s="27" t="s">
        <v>317</v>
      </c>
      <c r="F25" s="10">
        <v>58</v>
      </c>
      <c r="G25" s="10">
        <v>58</v>
      </c>
      <c r="H25" s="10" t="s">
        <v>16</v>
      </c>
      <c r="I25" s="10"/>
      <c r="J25" s="10"/>
      <c r="K25" s="10"/>
      <c r="L25" s="10"/>
      <c r="M25" s="1"/>
      <c r="N25" s="1"/>
      <c r="O25" s="1"/>
    </row>
    <row r="26" spans="1:15" ht="15.6" x14ac:dyDescent="0.3">
      <c r="A26" s="9">
        <v>21</v>
      </c>
      <c r="B26" s="15" t="s">
        <v>41</v>
      </c>
      <c r="C26" s="19" t="s">
        <v>154</v>
      </c>
      <c r="D26" s="11" t="s">
        <v>245</v>
      </c>
      <c r="E26" s="27" t="s">
        <v>318</v>
      </c>
      <c r="F26" s="10">
        <v>60</v>
      </c>
      <c r="G26" s="10" t="s">
        <v>16</v>
      </c>
      <c r="H26" s="10" t="s">
        <v>16</v>
      </c>
      <c r="I26" s="10"/>
      <c r="J26" s="10"/>
      <c r="K26" s="10"/>
      <c r="L26" s="10"/>
      <c r="M26" s="1"/>
      <c r="N26" s="1"/>
      <c r="O26" s="1"/>
    </row>
    <row r="27" spans="1:15" ht="15.6" x14ac:dyDescent="0.3">
      <c r="A27" s="9">
        <v>22</v>
      </c>
      <c r="B27" s="15" t="s">
        <v>42</v>
      </c>
      <c r="C27" s="19" t="s">
        <v>155</v>
      </c>
      <c r="D27" s="11" t="s">
        <v>245</v>
      </c>
      <c r="E27" s="27" t="s">
        <v>319</v>
      </c>
      <c r="F27" s="10" t="s">
        <v>16</v>
      </c>
      <c r="G27" s="10" t="s">
        <v>16</v>
      </c>
      <c r="H27" s="10" t="s">
        <v>16</v>
      </c>
      <c r="I27" s="10"/>
      <c r="J27" s="10"/>
      <c r="K27" s="10"/>
      <c r="L27" s="10"/>
      <c r="M27" s="1"/>
      <c r="N27" s="1"/>
      <c r="O27" s="1"/>
    </row>
    <row r="28" spans="1:15" ht="15.6" x14ac:dyDescent="0.3">
      <c r="A28" s="9">
        <v>23</v>
      </c>
      <c r="B28" s="15" t="s">
        <v>43</v>
      </c>
      <c r="C28" s="19" t="s">
        <v>156</v>
      </c>
      <c r="D28" s="11" t="s">
        <v>245</v>
      </c>
      <c r="E28" s="27" t="s">
        <v>320</v>
      </c>
      <c r="F28" s="10">
        <v>56</v>
      </c>
      <c r="G28" s="10">
        <v>58</v>
      </c>
      <c r="H28" s="10">
        <v>60</v>
      </c>
      <c r="I28" s="10"/>
      <c r="J28" s="10"/>
      <c r="K28" s="10"/>
      <c r="L28" s="10"/>
      <c r="M28" s="1"/>
      <c r="N28" s="1"/>
      <c r="O28" s="1"/>
    </row>
    <row r="29" spans="1:15" ht="15.6" x14ac:dyDescent="0.3">
      <c r="A29" s="9">
        <v>24</v>
      </c>
      <c r="B29" s="15" t="s">
        <v>44</v>
      </c>
      <c r="C29" s="19" t="s">
        <v>157</v>
      </c>
      <c r="D29" s="11" t="s">
        <v>245</v>
      </c>
      <c r="E29" s="27" t="s">
        <v>321</v>
      </c>
      <c r="F29" s="10" t="s">
        <v>16</v>
      </c>
      <c r="G29" s="10" t="s">
        <v>16</v>
      </c>
      <c r="H29" s="10" t="s">
        <v>16</v>
      </c>
      <c r="I29" s="10"/>
      <c r="J29" s="10"/>
      <c r="K29" s="10"/>
      <c r="L29" s="10"/>
      <c r="M29" s="1"/>
      <c r="N29" s="1"/>
      <c r="O29" s="1"/>
    </row>
    <row r="30" spans="1:15" ht="15.6" x14ac:dyDescent="0.3">
      <c r="A30" s="9">
        <v>25</v>
      </c>
      <c r="B30" s="15" t="s">
        <v>45</v>
      </c>
      <c r="C30" s="19" t="s">
        <v>158</v>
      </c>
      <c r="D30" s="11" t="s">
        <v>245</v>
      </c>
      <c r="E30" s="27" t="s">
        <v>322</v>
      </c>
      <c r="F30" s="10">
        <v>50</v>
      </c>
      <c r="G30" s="10">
        <v>56</v>
      </c>
      <c r="H30" s="10">
        <v>54</v>
      </c>
      <c r="I30" s="10"/>
      <c r="J30" s="10"/>
      <c r="K30" s="10"/>
      <c r="L30" s="10"/>
      <c r="M30" s="1"/>
      <c r="N30" s="1"/>
      <c r="O30" s="1"/>
    </row>
    <row r="31" spans="1:15" ht="15.6" x14ac:dyDescent="0.3">
      <c r="A31" s="9">
        <v>26</v>
      </c>
      <c r="B31" s="15" t="s">
        <v>46</v>
      </c>
      <c r="C31" s="19" t="s">
        <v>159</v>
      </c>
      <c r="D31" s="11" t="s">
        <v>245</v>
      </c>
      <c r="E31" s="27" t="s">
        <v>323</v>
      </c>
      <c r="F31" s="10">
        <v>60</v>
      </c>
      <c r="G31" s="10" t="s">
        <v>16</v>
      </c>
      <c r="H31" s="10">
        <v>58</v>
      </c>
      <c r="I31" s="10"/>
      <c r="J31" s="10"/>
      <c r="K31" s="10"/>
      <c r="L31" s="10"/>
      <c r="M31" s="1"/>
      <c r="N31" s="1"/>
      <c r="O31" s="1"/>
    </row>
    <row r="32" spans="1:15" ht="15.6" x14ac:dyDescent="0.3">
      <c r="A32" s="9">
        <v>27</v>
      </c>
      <c r="B32" s="15" t="s">
        <v>47</v>
      </c>
      <c r="C32" s="19" t="s">
        <v>160</v>
      </c>
      <c r="D32" s="11" t="s">
        <v>245</v>
      </c>
      <c r="E32" s="27" t="s">
        <v>324</v>
      </c>
      <c r="F32" s="10">
        <v>0</v>
      </c>
      <c r="G32" s="10">
        <v>58</v>
      </c>
      <c r="H32" s="10" t="s">
        <v>16</v>
      </c>
      <c r="I32" s="10"/>
      <c r="J32" s="10"/>
      <c r="K32" s="10"/>
      <c r="L32" s="10"/>
      <c r="M32" s="1"/>
      <c r="N32" s="1"/>
      <c r="O32" s="1"/>
    </row>
    <row r="33" spans="1:15" ht="15.6" x14ac:dyDescent="0.3">
      <c r="A33" s="9">
        <v>28</v>
      </c>
      <c r="B33" s="15" t="s">
        <v>48</v>
      </c>
      <c r="C33" s="19" t="s">
        <v>161</v>
      </c>
      <c r="D33" s="11" t="s">
        <v>245</v>
      </c>
      <c r="E33" s="27" t="s">
        <v>325</v>
      </c>
      <c r="F33" s="10">
        <v>44</v>
      </c>
      <c r="G33" s="10">
        <v>46</v>
      </c>
      <c r="H33" s="10" t="s">
        <v>16</v>
      </c>
      <c r="I33" s="10"/>
      <c r="J33" s="10"/>
      <c r="K33" s="10"/>
      <c r="L33" s="10"/>
      <c r="M33" s="1"/>
      <c r="N33" s="1"/>
      <c r="O33" s="1"/>
    </row>
    <row r="34" spans="1:15" ht="15.6" x14ac:dyDescent="0.3">
      <c r="A34" s="9">
        <v>29</v>
      </c>
      <c r="B34" s="15" t="s">
        <v>49</v>
      </c>
      <c r="C34" s="19" t="s">
        <v>162</v>
      </c>
      <c r="D34" s="11" t="s">
        <v>245</v>
      </c>
      <c r="E34" s="27" t="s">
        <v>326</v>
      </c>
      <c r="F34" s="10">
        <v>60</v>
      </c>
      <c r="G34" s="10">
        <v>58</v>
      </c>
      <c r="H34" s="10" t="s">
        <v>16</v>
      </c>
      <c r="I34" s="10"/>
      <c r="J34" s="10"/>
      <c r="K34" s="10"/>
      <c r="L34" s="10"/>
      <c r="M34" s="1"/>
      <c r="N34" s="1"/>
      <c r="O34" s="1"/>
    </row>
    <row r="35" spans="1:15" ht="15.6" x14ac:dyDescent="0.3">
      <c r="A35" s="9">
        <v>30</v>
      </c>
      <c r="B35" s="15" t="s">
        <v>50</v>
      </c>
      <c r="C35" s="19" t="s">
        <v>163</v>
      </c>
      <c r="D35" s="11" t="s">
        <v>245</v>
      </c>
      <c r="E35" s="27" t="s">
        <v>327</v>
      </c>
      <c r="F35" s="10">
        <v>58</v>
      </c>
      <c r="G35" s="10">
        <v>52</v>
      </c>
      <c r="H35" s="10">
        <v>54</v>
      </c>
      <c r="I35" s="10"/>
      <c r="J35" s="10"/>
      <c r="K35" s="10"/>
      <c r="L35" s="10"/>
      <c r="M35" s="1"/>
      <c r="N35" s="1"/>
      <c r="O35" s="1"/>
    </row>
    <row r="36" spans="1:15" ht="15.6" x14ac:dyDescent="0.3">
      <c r="A36" s="9">
        <v>31</v>
      </c>
      <c r="B36" s="15" t="s">
        <v>51</v>
      </c>
      <c r="C36" s="19" t="s">
        <v>164</v>
      </c>
      <c r="D36" s="11" t="s">
        <v>245</v>
      </c>
      <c r="E36" s="27" t="s">
        <v>328</v>
      </c>
      <c r="F36" s="10">
        <v>60</v>
      </c>
      <c r="G36" s="10">
        <v>60</v>
      </c>
      <c r="H36" s="10">
        <v>56</v>
      </c>
      <c r="I36" s="10"/>
      <c r="J36" s="10"/>
      <c r="K36" s="10"/>
      <c r="L36" s="10"/>
      <c r="M36" s="1"/>
      <c r="N36" s="1"/>
      <c r="O36" s="1"/>
    </row>
    <row r="37" spans="1:15" ht="15.6" x14ac:dyDescent="0.3">
      <c r="A37" s="9">
        <v>32</v>
      </c>
      <c r="B37" s="15" t="s">
        <v>52</v>
      </c>
      <c r="C37" s="19" t="s">
        <v>165</v>
      </c>
      <c r="D37" s="11" t="s">
        <v>245</v>
      </c>
      <c r="E37" s="28" t="s">
        <v>520</v>
      </c>
      <c r="F37" s="10">
        <v>58</v>
      </c>
      <c r="G37" s="10">
        <v>58</v>
      </c>
      <c r="H37" s="10" t="s">
        <v>16</v>
      </c>
      <c r="I37" s="10"/>
      <c r="J37" s="10"/>
      <c r="K37" s="10"/>
      <c r="L37" s="10"/>
      <c r="M37" s="1"/>
      <c r="N37" s="1"/>
      <c r="O37" s="1"/>
    </row>
    <row r="38" spans="1:15" ht="15.6" x14ac:dyDescent="0.3">
      <c r="A38" s="9">
        <v>33</v>
      </c>
      <c r="B38" s="15" t="s">
        <v>53</v>
      </c>
      <c r="C38" s="19" t="s">
        <v>166</v>
      </c>
      <c r="D38" s="11" t="s">
        <v>245</v>
      </c>
      <c r="E38" s="27" t="s">
        <v>329</v>
      </c>
      <c r="F38" s="10">
        <v>58</v>
      </c>
      <c r="G38" s="10">
        <v>58</v>
      </c>
      <c r="H38" s="10" t="s">
        <v>16</v>
      </c>
      <c r="I38" s="10"/>
      <c r="J38" s="10"/>
      <c r="K38" s="10"/>
      <c r="L38" s="10"/>
      <c r="M38" s="1"/>
      <c r="N38" s="1"/>
      <c r="O38" s="1"/>
    </row>
    <row r="39" spans="1:15" ht="15.6" x14ac:dyDescent="0.3">
      <c r="A39" s="9">
        <v>34</v>
      </c>
      <c r="B39" s="15" t="s">
        <v>54</v>
      </c>
      <c r="C39" s="19" t="s">
        <v>167</v>
      </c>
      <c r="D39" s="11" t="s">
        <v>245</v>
      </c>
      <c r="E39" s="27" t="s">
        <v>330</v>
      </c>
      <c r="F39" s="10" t="s">
        <v>16</v>
      </c>
      <c r="G39" s="10" t="s">
        <v>16</v>
      </c>
      <c r="H39" s="10" t="s">
        <v>16</v>
      </c>
      <c r="I39" s="10"/>
      <c r="J39" s="10"/>
      <c r="K39" s="10"/>
      <c r="L39" s="10"/>
      <c r="M39" s="1"/>
      <c r="N39" s="1"/>
      <c r="O39" s="1"/>
    </row>
    <row r="40" spans="1:15" ht="15.6" x14ac:dyDescent="0.3">
      <c r="A40" s="9">
        <v>35</v>
      </c>
      <c r="B40" s="15" t="s">
        <v>55</v>
      </c>
      <c r="C40" s="19" t="s">
        <v>168</v>
      </c>
      <c r="D40" s="11" t="s">
        <v>245</v>
      </c>
      <c r="E40" s="27" t="s">
        <v>331</v>
      </c>
      <c r="F40" s="10">
        <v>58</v>
      </c>
      <c r="G40" s="10">
        <v>0</v>
      </c>
      <c r="H40" s="10" t="s">
        <v>16</v>
      </c>
      <c r="I40" s="10"/>
      <c r="J40" s="10"/>
      <c r="K40" s="10"/>
      <c r="L40" s="10"/>
      <c r="M40" s="1"/>
      <c r="N40" s="1"/>
      <c r="O40" s="1"/>
    </row>
    <row r="41" spans="1:15" ht="15.6" x14ac:dyDescent="0.3">
      <c r="A41" s="9">
        <v>36</v>
      </c>
      <c r="B41" s="15" t="s">
        <v>56</v>
      </c>
      <c r="C41" s="19" t="s">
        <v>169</v>
      </c>
      <c r="D41" s="11" t="s">
        <v>245</v>
      </c>
      <c r="E41" s="27" t="s">
        <v>332</v>
      </c>
      <c r="F41" s="10">
        <v>0</v>
      </c>
      <c r="G41" s="10">
        <v>60</v>
      </c>
      <c r="H41" s="10" t="s">
        <v>16</v>
      </c>
      <c r="I41" s="10"/>
      <c r="J41" s="10"/>
      <c r="K41" s="10"/>
      <c r="L41" s="10"/>
      <c r="M41" s="1"/>
      <c r="N41" s="1"/>
      <c r="O41" s="1"/>
    </row>
    <row r="42" spans="1:15" ht="15.6" x14ac:dyDescent="0.3">
      <c r="A42" s="9">
        <v>37</v>
      </c>
      <c r="B42" s="15" t="s">
        <v>57</v>
      </c>
      <c r="C42" s="19" t="s">
        <v>170</v>
      </c>
      <c r="D42" s="11" t="s">
        <v>245</v>
      </c>
      <c r="E42" s="27" t="s">
        <v>333</v>
      </c>
      <c r="F42" s="10" t="s">
        <v>16</v>
      </c>
      <c r="G42" s="10" t="s">
        <v>16</v>
      </c>
      <c r="H42" s="10" t="s">
        <v>16</v>
      </c>
      <c r="I42" s="10"/>
      <c r="J42" s="10"/>
      <c r="K42" s="10"/>
      <c r="L42" s="10"/>
      <c r="M42" s="1"/>
      <c r="N42" s="1"/>
      <c r="O42" s="1"/>
    </row>
    <row r="43" spans="1:15" ht="15.6" x14ac:dyDescent="0.3">
      <c r="A43" s="9">
        <v>38</v>
      </c>
      <c r="B43" s="15" t="s">
        <v>58</v>
      </c>
      <c r="C43" s="19" t="s">
        <v>171</v>
      </c>
      <c r="D43" s="11" t="s">
        <v>245</v>
      </c>
      <c r="E43" s="27" t="s">
        <v>334</v>
      </c>
      <c r="F43" s="10">
        <v>58</v>
      </c>
      <c r="G43" s="10">
        <v>58</v>
      </c>
      <c r="H43" s="10" t="s">
        <v>16</v>
      </c>
      <c r="I43" s="10"/>
      <c r="J43" s="10"/>
      <c r="K43" s="10"/>
      <c r="L43" s="10"/>
      <c r="M43" s="1"/>
      <c r="N43" s="1"/>
      <c r="O43" s="1"/>
    </row>
    <row r="44" spans="1:15" ht="15.6" x14ac:dyDescent="0.3">
      <c r="A44" s="9">
        <v>39</v>
      </c>
      <c r="B44" s="15" t="s">
        <v>59</v>
      </c>
      <c r="C44" s="19" t="s">
        <v>172</v>
      </c>
      <c r="D44" s="11" t="s">
        <v>245</v>
      </c>
      <c r="E44" s="27" t="s">
        <v>335</v>
      </c>
      <c r="F44" s="10">
        <v>56</v>
      </c>
      <c r="G44" s="10">
        <v>58</v>
      </c>
      <c r="H44" s="10">
        <v>52</v>
      </c>
      <c r="I44" s="10"/>
      <c r="J44" s="10"/>
      <c r="K44" s="10"/>
      <c r="L44" s="10"/>
      <c r="M44" s="1"/>
      <c r="N44" s="1"/>
      <c r="O44" s="1"/>
    </row>
    <row r="45" spans="1:15" ht="15.6" x14ac:dyDescent="0.3">
      <c r="A45" s="9">
        <v>40</v>
      </c>
      <c r="B45" s="15" t="s">
        <v>60</v>
      </c>
      <c r="C45" s="19" t="s">
        <v>173</v>
      </c>
      <c r="D45" s="11" t="s">
        <v>245</v>
      </c>
      <c r="E45" s="27" t="s">
        <v>336</v>
      </c>
      <c r="F45" s="10" t="s">
        <v>16</v>
      </c>
      <c r="G45" s="10">
        <v>54</v>
      </c>
      <c r="H45" s="10" t="s">
        <v>16</v>
      </c>
      <c r="I45" s="10"/>
      <c r="J45" s="10"/>
      <c r="K45" s="10"/>
      <c r="L45" s="10"/>
      <c r="M45" s="1"/>
      <c r="N45" s="1"/>
      <c r="O45" s="1"/>
    </row>
    <row r="46" spans="1:15" ht="15.6" x14ac:dyDescent="0.3">
      <c r="A46" s="9">
        <v>41</v>
      </c>
      <c r="B46" s="15" t="s">
        <v>61</v>
      </c>
      <c r="C46" s="19" t="s">
        <v>174</v>
      </c>
      <c r="D46" s="11" t="s">
        <v>245</v>
      </c>
      <c r="E46" s="27" t="s">
        <v>337</v>
      </c>
      <c r="F46" s="10">
        <v>58</v>
      </c>
      <c r="G46" s="10">
        <v>60</v>
      </c>
      <c r="H46" s="10">
        <v>56</v>
      </c>
      <c r="I46" s="10"/>
      <c r="J46" s="10"/>
      <c r="K46" s="10"/>
      <c r="L46" s="10"/>
      <c r="M46" s="1"/>
      <c r="N46" s="1"/>
      <c r="O46" s="1"/>
    </row>
    <row r="47" spans="1:15" ht="15.6" x14ac:dyDescent="0.3">
      <c r="A47" s="9">
        <v>42</v>
      </c>
      <c r="B47" s="15" t="s">
        <v>62</v>
      </c>
      <c r="C47" s="19" t="s">
        <v>175</v>
      </c>
      <c r="D47" s="11" t="s">
        <v>245</v>
      </c>
      <c r="E47" s="27" t="s">
        <v>338</v>
      </c>
      <c r="F47" s="10" t="s">
        <v>16</v>
      </c>
      <c r="G47" s="10" t="s">
        <v>16</v>
      </c>
      <c r="H47" s="10" t="s">
        <v>16</v>
      </c>
      <c r="I47" s="10"/>
      <c r="J47" s="10"/>
      <c r="K47" s="10"/>
      <c r="L47" s="10"/>
      <c r="M47" s="1"/>
      <c r="N47" s="1"/>
      <c r="O47" s="1"/>
    </row>
    <row r="48" spans="1:15" ht="15.6" x14ac:dyDescent="0.3">
      <c r="A48" s="9">
        <v>43</v>
      </c>
      <c r="B48" s="15" t="s">
        <v>63</v>
      </c>
      <c r="C48" s="19" t="s">
        <v>176</v>
      </c>
      <c r="D48" s="11" t="s">
        <v>245</v>
      </c>
      <c r="E48" s="27" t="s">
        <v>339</v>
      </c>
      <c r="F48" s="10">
        <v>46</v>
      </c>
      <c r="G48" s="10">
        <v>50</v>
      </c>
      <c r="H48" s="10">
        <v>54</v>
      </c>
      <c r="I48" s="10"/>
      <c r="J48" s="10"/>
      <c r="K48" s="10"/>
      <c r="L48" s="10"/>
      <c r="M48" s="1"/>
      <c r="N48" s="1"/>
      <c r="O48" s="1"/>
    </row>
    <row r="49" spans="1:15" ht="15.6" x14ac:dyDescent="0.3">
      <c r="A49" s="9">
        <v>44</v>
      </c>
      <c r="B49" s="15" t="s">
        <v>64</v>
      </c>
      <c r="C49" s="19" t="s">
        <v>177</v>
      </c>
      <c r="D49" s="11" t="s">
        <v>245</v>
      </c>
      <c r="E49" s="27" t="s">
        <v>340</v>
      </c>
      <c r="F49" s="10">
        <v>50</v>
      </c>
      <c r="G49" s="10">
        <v>50</v>
      </c>
      <c r="H49" s="10">
        <v>38</v>
      </c>
      <c r="I49" s="10"/>
      <c r="J49" s="10"/>
      <c r="K49" s="10"/>
      <c r="L49" s="10"/>
      <c r="M49" s="1"/>
      <c r="N49" s="1"/>
      <c r="O49" s="1"/>
    </row>
    <row r="50" spans="1:15" ht="15.6" x14ac:dyDescent="0.3">
      <c r="A50" s="9">
        <v>45</v>
      </c>
      <c r="B50" s="15" t="s">
        <v>65</v>
      </c>
      <c r="C50" s="19" t="s">
        <v>178</v>
      </c>
      <c r="D50" s="11" t="s">
        <v>245</v>
      </c>
      <c r="E50" s="28" t="s">
        <v>518</v>
      </c>
      <c r="F50" s="10">
        <v>60</v>
      </c>
      <c r="G50" s="10">
        <v>54</v>
      </c>
      <c r="H50" s="10" t="s">
        <v>16</v>
      </c>
      <c r="I50" s="10"/>
      <c r="J50" s="10"/>
      <c r="K50" s="10"/>
      <c r="L50" s="10"/>
      <c r="M50" s="1"/>
      <c r="N50" s="1"/>
      <c r="O50" s="1"/>
    </row>
    <row r="51" spans="1:15" ht="15.6" x14ac:dyDescent="0.3">
      <c r="A51" s="9">
        <v>46</v>
      </c>
      <c r="B51" s="15" t="s">
        <v>66</v>
      </c>
      <c r="C51" s="19" t="s">
        <v>179</v>
      </c>
      <c r="D51" s="11" t="s">
        <v>245</v>
      </c>
      <c r="E51" s="27" t="s">
        <v>341</v>
      </c>
      <c r="F51" s="10">
        <v>0</v>
      </c>
      <c r="G51" s="10" t="s">
        <v>16</v>
      </c>
      <c r="H51" s="10" t="s">
        <v>16</v>
      </c>
      <c r="I51" s="10"/>
      <c r="J51" s="10"/>
      <c r="K51" s="10"/>
      <c r="L51" s="10"/>
      <c r="M51" s="1"/>
      <c r="N51" s="1"/>
      <c r="O51" s="1"/>
    </row>
    <row r="52" spans="1:15" ht="15.6" x14ac:dyDescent="0.3">
      <c r="A52" s="9">
        <v>47</v>
      </c>
      <c r="B52" s="15" t="s">
        <v>67</v>
      </c>
      <c r="C52" s="19" t="s">
        <v>180</v>
      </c>
      <c r="D52" s="11" t="s">
        <v>245</v>
      </c>
      <c r="E52" s="27" t="s">
        <v>342</v>
      </c>
      <c r="F52" s="10" t="s">
        <v>16</v>
      </c>
      <c r="G52" s="10" t="s">
        <v>16</v>
      </c>
      <c r="H52" s="10" t="s">
        <v>16</v>
      </c>
      <c r="I52" s="10"/>
      <c r="J52" s="10"/>
      <c r="K52" s="10"/>
      <c r="L52" s="10"/>
      <c r="M52" s="1"/>
      <c r="N52" s="1"/>
      <c r="O52" s="1"/>
    </row>
    <row r="53" spans="1:15" ht="15.6" x14ac:dyDescent="0.3">
      <c r="A53" s="9">
        <v>48</v>
      </c>
      <c r="B53" s="15" t="s">
        <v>68</v>
      </c>
      <c r="C53" s="19" t="s">
        <v>181</v>
      </c>
      <c r="D53" s="11" t="s">
        <v>245</v>
      </c>
      <c r="E53" s="27" t="s">
        <v>343</v>
      </c>
      <c r="F53" s="10">
        <v>60</v>
      </c>
      <c r="G53" s="10">
        <v>60</v>
      </c>
      <c r="H53" s="10">
        <v>58</v>
      </c>
      <c r="I53" s="10"/>
      <c r="J53" s="10"/>
      <c r="K53" s="10"/>
      <c r="L53" s="10"/>
      <c r="M53" s="1"/>
      <c r="N53" s="1"/>
      <c r="O53" s="1"/>
    </row>
    <row r="54" spans="1:15" ht="15.6" x14ac:dyDescent="0.3">
      <c r="A54" s="9">
        <v>49</v>
      </c>
      <c r="B54" s="15" t="s">
        <v>69</v>
      </c>
      <c r="C54" s="19" t="s">
        <v>182</v>
      </c>
      <c r="D54" s="11" t="s">
        <v>245</v>
      </c>
      <c r="E54" s="27" t="s">
        <v>344</v>
      </c>
      <c r="F54" s="10" t="s">
        <v>16</v>
      </c>
      <c r="G54" s="10" t="s">
        <v>16</v>
      </c>
      <c r="H54" s="10" t="s">
        <v>16</v>
      </c>
      <c r="I54" s="10"/>
      <c r="J54" s="10"/>
      <c r="K54" s="10"/>
      <c r="L54" s="10"/>
      <c r="M54" s="1"/>
      <c r="N54" s="1"/>
      <c r="O54" s="1"/>
    </row>
    <row r="55" spans="1:15" ht="15.6" x14ac:dyDescent="0.3">
      <c r="A55" s="9">
        <v>50</v>
      </c>
      <c r="B55" s="15" t="s">
        <v>70</v>
      </c>
      <c r="C55" s="19" t="s">
        <v>183</v>
      </c>
      <c r="D55" s="11" t="s">
        <v>245</v>
      </c>
      <c r="E55" s="27" t="s">
        <v>345</v>
      </c>
      <c r="F55" s="10">
        <v>60</v>
      </c>
      <c r="G55" s="10">
        <v>60</v>
      </c>
      <c r="H55" s="10" t="s">
        <v>16</v>
      </c>
      <c r="I55" s="10"/>
      <c r="J55" s="10"/>
      <c r="K55" s="10"/>
      <c r="L55" s="10"/>
      <c r="M55" s="1"/>
      <c r="N55" s="1"/>
      <c r="O55" s="1"/>
    </row>
    <row r="56" spans="1:15" ht="15.6" x14ac:dyDescent="0.3">
      <c r="A56" s="9">
        <v>51</v>
      </c>
      <c r="B56" s="15" t="s">
        <v>71</v>
      </c>
      <c r="C56" s="19" t="s">
        <v>184</v>
      </c>
      <c r="D56" s="11" t="s">
        <v>245</v>
      </c>
      <c r="E56" s="27" t="s">
        <v>346</v>
      </c>
      <c r="F56" s="10" t="s">
        <v>16</v>
      </c>
      <c r="G56" s="10" t="s">
        <v>16</v>
      </c>
      <c r="H56" s="10" t="s">
        <v>16</v>
      </c>
      <c r="I56" s="10"/>
      <c r="J56" s="10"/>
      <c r="K56" s="10"/>
      <c r="L56" s="10"/>
      <c r="M56" s="1"/>
      <c r="N56" s="1"/>
      <c r="O56" s="1"/>
    </row>
    <row r="57" spans="1:15" ht="15.6" x14ac:dyDescent="0.3">
      <c r="A57" s="9">
        <v>52</v>
      </c>
      <c r="B57" s="15" t="s">
        <v>72</v>
      </c>
      <c r="C57" s="19" t="s">
        <v>185</v>
      </c>
      <c r="D57" s="11" t="s">
        <v>245</v>
      </c>
      <c r="E57" s="27" t="s">
        <v>347</v>
      </c>
      <c r="F57" s="10">
        <v>60</v>
      </c>
      <c r="G57" s="10">
        <v>56</v>
      </c>
      <c r="H57" s="10">
        <v>58</v>
      </c>
      <c r="I57" s="10"/>
      <c r="J57" s="10"/>
      <c r="K57" s="10"/>
      <c r="L57" s="10"/>
      <c r="M57" s="1"/>
      <c r="N57" s="1"/>
      <c r="O57" s="1"/>
    </row>
    <row r="58" spans="1:15" ht="15.6" x14ac:dyDescent="0.3">
      <c r="A58" s="9">
        <v>53</v>
      </c>
      <c r="B58" s="15" t="s">
        <v>73</v>
      </c>
      <c r="C58" s="19" t="s">
        <v>186</v>
      </c>
      <c r="D58" s="11" t="s">
        <v>245</v>
      </c>
      <c r="E58" s="27" t="s">
        <v>348</v>
      </c>
      <c r="F58" s="10">
        <v>60</v>
      </c>
      <c r="G58" s="10">
        <v>60</v>
      </c>
      <c r="H58" s="10" t="s">
        <v>16</v>
      </c>
      <c r="I58" s="10"/>
      <c r="J58" s="10"/>
      <c r="K58" s="10"/>
      <c r="L58" s="10"/>
      <c r="M58" s="1"/>
      <c r="N58" s="1"/>
      <c r="O58" s="1"/>
    </row>
    <row r="59" spans="1:15" ht="15.6" x14ac:dyDescent="0.3">
      <c r="A59" s="9">
        <v>54</v>
      </c>
      <c r="B59" s="15" t="s">
        <v>74</v>
      </c>
      <c r="C59" s="19" t="s">
        <v>187</v>
      </c>
      <c r="D59" s="11" t="s">
        <v>245</v>
      </c>
      <c r="E59" s="27" t="s">
        <v>349</v>
      </c>
      <c r="F59" s="10">
        <v>18</v>
      </c>
      <c r="G59" s="10">
        <v>20</v>
      </c>
      <c r="H59" s="10" t="s">
        <v>16</v>
      </c>
      <c r="I59" s="10"/>
      <c r="J59" s="10"/>
      <c r="K59" s="10"/>
      <c r="L59" s="10"/>
      <c r="M59" s="1"/>
      <c r="N59" s="1"/>
      <c r="O59" s="1"/>
    </row>
    <row r="60" spans="1:15" ht="15.6" x14ac:dyDescent="0.3">
      <c r="A60" s="9">
        <v>55</v>
      </c>
      <c r="B60" s="17" t="s">
        <v>75</v>
      </c>
      <c r="C60" s="17" t="s">
        <v>188</v>
      </c>
      <c r="D60" s="11" t="s">
        <v>245</v>
      </c>
      <c r="E60" s="28" t="s">
        <v>350</v>
      </c>
      <c r="F60" s="10" t="s">
        <v>16</v>
      </c>
      <c r="G60" s="10" t="s">
        <v>16</v>
      </c>
      <c r="H60" s="10" t="s">
        <v>16</v>
      </c>
      <c r="I60" s="10"/>
      <c r="J60" s="10"/>
      <c r="K60" s="10"/>
      <c r="L60" s="10"/>
      <c r="M60" s="1"/>
      <c r="N60" s="1"/>
      <c r="O60" s="1"/>
    </row>
    <row r="61" spans="1:15" ht="15.6" x14ac:dyDescent="0.3">
      <c r="A61" s="9">
        <v>56</v>
      </c>
      <c r="B61" s="18" t="s">
        <v>76</v>
      </c>
      <c r="C61" s="21" t="s">
        <v>189</v>
      </c>
      <c r="D61" s="11" t="s">
        <v>245</v>
      </c>
      <c r="E61" s="29" t="s">
        <v>351</v>
      </c>
      <c r="F61" s="10">
        <v>60</v>
      </c>
      <c r="G61" s="10" t="s">
        <v>16</v>
      </c>
      <c r="H61" s="10" t="s">
        <v>16</v>
      </c>
      <c r="I61" s="10"/>
      <c r="J61" s="10"/>
      <c r="K61" s="10"/>
      <c r="L61" s="10"/>
      <c r="M61" s="1"/>
      <c r="N61" s="1"/>
      <c r="O61" s="1"/>
    </row>
    <row r="62" spans="1:15" ht="15.6" x14ac:dyDescent="0.3">
      <c r="A62" s="9">
        <v>57</v>
      </c>
      <c r="B62" s="18" t="s">
        <v>77</v>
      </c>
      <c r="C62" s="21" t="s">
        <v>190</v>
      </c>
      <c r="D62" s="11" t="s">
        <v>245</v>
      </c>
      <c r="E62" s="30" t="s">
        <v>352</v>
      </c>
      <c r="F62" s="10" t="s">
        <v>16</v>
      </c>
      <c r="G62" s="10" t="s">
        <v>16</v>
      </c>
      <c r="H62" s="10" t="s">
        <v>16</v>
      </c>
      <c r="I62" s="10"/>
      <c r="J62" s="10"/>
      <c r="K62" s="10"/>
      <c r="L62" s="10"/>
      <c r="M62" s="1"/>
      <c r="N62" s="1"/>
      <c r="O62" s="1"/>
    </row>
    <row r="63" spans="1:15" ht="15.6" x14ac:dyDescent="0.3">
      <c r="A63" s="9">
        <v>58</v>
      </c>
      <c r="B63" s="18" t="s">
        <v>78</v>
      </c>
      <c r="C63" s="21" t="s">
        <v>191</v>
      </c>
      <c r="D63" s="11" t="s">
        <v>245</v>
      </c>
      <c r="E63" s="29" t="s">
        <v>353</v>
      </c>
      <c r="F63" s="10">
        <v>48</v>
      </c>
      <c r="G63" s="10">
        <v>54</v>
      </c>
      <c r="H63" s="10">
        <v>50</v>
      </c>
      <c r="I63" s="10"/>
      <c r="J63" s="10"/>
      <c r="K63" s="10"/>
      <c r="L63" s="10"/>
      <c r="M63" s="1"/>
      <c r="N63" s="1"/>
      <c r="O63" s="1"/>
    </row>
    <row r="64" spans="1:15" ht="15.6" x14ac:dyDescent="0.3">
      <c r="A64" s="9">
        <v>59</v>
      </c>
      <c r="B64" s="18" t="s">
        <v>79</v>
      </c>
      <c r="C64" s="21" t="s">
        <v>192</v>
      </c>
      <c r="D64" s="11" t="s">
        <v>245</v>
      </c>
      <c r="E64" s="29" t="s">
        <v>354</v>
      </c>
      <c r="F64" s="10">
        <v>60</v>
      </c>
      <c r="G64" s="10">
        <v>58</v>
      </c>
      <c r="H64" s="10">
        <v>58</v>
      </c>
      <c r="I64" s="10"/>
      <c r="J64" s="10"/>
      <c r="K64" s="10"/>
      <c r="L64" s="10"/>
      <c r="M64" s="1"/>
      <c r="N64" s="1"/>
      <c r="O64" s="1"/>
    </row>
    <row r="65" spans="1:15" ht="15.6" x14ac:dyDescent="0.3">
      <c r="A65" s="9">
        <v>60</v>
      </c>
      <c r="B65" s="18" t="s">
        <v>80</v>
      </c>
      <c r="C65" s="21" t="s">
        <v>193</v>
      </c>
      <c r="D65" s="11" t="s">
        <v>245</v>
      </c>
      <c r="E65" s="29" t="s">
        <v>355</v>
      </c>
      <c r="F65" s="10">
        <v>58</v>
      </c>
      <c r="G65" s="10">
        <v>56</v>
      </c>
      <c r="H65" s="10" t="s">
        <v>16</v>
      </c>
      <c r="I65" s="10"/>
      <c r="J65" s="10"/>
      <c r="K65" s="10"/>
      <c r="L65" s="10"/>
      <c r="M65" s="1"/>
      <c r="N65" s="1"/>
      <c r="O65" s="1"/>
    </row>
    <row r="66" spans="1:15" ht="15.6" x14ac:dyDescent="0.3">
      <c r="A66" s="9">
        <v>61</v>
      </c>
      <c r="B66" s="18" t="s">
        <v>81</v>
      </c>
      <c r="C66" s="21" t="s">
        <v>194</v>
      </c>
      <c r="D66" s="11" t="s">
        <v>245</v>
      </c>
      <c r="E66" s="29" t="s">
        <v>356</v>
      </c>
      <c r="F66" s="10">
        <v>60</v>
      </c>
      <c r="G66" s="10">
        <v>54</v>
      </c>
      <c r="H66" s="10" t="s">
        <v>16</v>
      </c>
      <c r="I66" s="10"/>
      <c r="J66" s="10"/>
      <c r="K66" s="10"/>
      <c r="L66" s="10"/>
      <c r="M66" s="1"/>
      <c r="N66" s="1"/>
      <c r="O66" s="1"/>
    </row>
    <row r="67" spans="1:15" ht="15.6" x14ac:dyDescent="0.3">
      <c r="A67" s="9">
        <v>62</v>
      </c>
      <c r="B67" s="18" t="s">
        <v>82</v>
      </c>
      <c r="C67" s="21" t="s">
        <v>195</v>
      </c>
      <c r="D67" s="11" t="s">
        <v>245</v>
      </c>
      <c r="E67" s="29" t="s">
        <v>357</v>
      </c>
      <c r="F67" s="10">
        <v>60</v>
      </c>
      <c r="G67" s="10">
        <v>58</v>
      </c>
      <c r="H67" s="10">
        <v>42</v>
      </c>
      <c r="I67" s="10"/>
      <c r="J67" s="10"/>
      <c r="K67" s="10"/>
      <c r="L67" s="10"/>
      <c r="M67" s="1"/>
      <c r="N67" s="1"/>
      <c r="O67" s="1"/>
    </row>
    <row r="68" spans="1:15" ht="15.6" x14ac:dyDescent="0.3">
      <c r="A68" s="9">
        <v>63</v>
      </c>
      <c r="B68" s="18" t="s">
        <v>83</v>
      </c>
      <c r="C68" s="21" t="s">
        <v>196</v>
      </c>
      <c r="D68" s="11" t="s">
        <v>245</v>
      </c>
      <c r="E68" s="29" t="s">
        <v>358</v>
      </c>
      <c r="F68" s="10">
        <v>60</v>
      </c>
      <c r="G68" s="10">
        <v>56</v>
      </c>
      <c r="H68" s="10" t="s">
        <v>16</v>
      </c>
      <c r="I68" s="10"/>
      <c r="J68" s="10"/>
      <c r="K68" s="10"/>
      <c r="L68" s="10"/>
      <c r="M68" s="1"/>
      <c r="N68" s="1"/>
      <c r="O68" s="1"/>
    </row>
    <row r="69" spans="1:15" ht="15.6" x14ac:dyDescent="0.3">
      <c r="A69" s="9">
        <v>64</v>
      </c>
      <c r="B69" s="18" t="s">
        <v>84</v>
      </c>
      <c r="C69" s="21" t="s">
        <v>197</v>
      </c>
      <c r="D69" s="11" t="s">
        <v>245</v>
      </c>
      <c r="E69" s="29" t="s">
        <v>359</v>
      </c>
      <c r="F69" s="10">
        <v>60</v>
      </c>
      <c r="G69" s="10">
        <v>56</v>
      </c>
      <c r="H69" s="10">
        <v>56</v>
      </c>
      <c r="I69" s="10"/>
      <c r="J69" s="10"/>
      <c r="K69" s="10"/>
      <c r="L69" s="10"/>
      <c r="M69" s="1"/>
      <c r="N69" s="1"/>
      <c r="O69" s="1"/>
    </row>
    <row r="70" spans="1:15" ht="15.6" x14ac:dyDescent="0.3">
      <c r="A70" s="9">
        <v>65</v>
      </c>
      <c r="B70" s="18" t="s">
        <v>85</v>
      </c>
      <c r="C70" s="21" t="s">
        <v>198</v>
      </c>
      <c r="D70" s="11" t="s">
        <v>245</v>
      </c>
      <c r="E70" s="31" t="s">
        <v>360</v>
      </c>
      <c r="F70" s="10">
        <v>60</v>
      </c>
      <c r="G70" s="10" t="s">
        <v>16</v>
      </c>
      <c r="H70" s="10" t="s">
        <v>16</v>
      </c>
      <c r="I70" s="10"/>
      <c r="J70" s="10"/>
      <c r="K70" s="10"/>
      <c r="L70" s="10"/>
      <c r="M70" s="1"/>
      <c r="N70" s="1"/>
      <c r="O70" s="1"/>
    </row>
    <row r="71" spans="1:15" ht="15.6" x14ac:dyDescent="0.3">
      <c r="A71" s="9">
        <v>66</v>
      </c>
      <c r="B71" s="18" t="s">
        <v>86</v>
      </c>
      <c r="C71" s="21" t="s">
        <v>199</v>
      </c>
      <c r="D71" s="11" t="s">
        <v>245</v>
      </c>
      <c r="E71" s="29" t="s">
        <v>361</v>
      </c>
      <c r="F71" s="10" t="s">
        <v>16</v>
      </c>
      <c r="G71" s="10" t="s">
        <v>16</v>
      </c>
      <c r="H71" s="10">
        <v>54</v>
      </c>
      <c r="I71" s="10"/>
      <c r="J71" s="10"/>
      <c r="K71" s="10"/>
      <c r="L71" s="10"/>
      <c r="M71" s="1"/>
      <c r="N71" s="1"/>
      <c r="O71" s="1"/>
    </row>
    <row r="72" spans="1:15" ht="15.6" x14ac:dyDescent="0.3">
      <c r="A72" s="9">
        <v>67</v>
      </c>
      <c r="B72" s="18" t="s">
        <v>87</v>
      </c>
      <c r="C72" s="21" t="s">
        <v>200</v>
      </c>
      <c r="D72" s="11" t="s">
        <v>245</v>
      </c>
      <c r="E72" s="29" t="s">
        <v>362</v>
      </c>
      <c r="F72" s="10">
        <v>60</v>
      </c>
      <c r="G72" s="10">
        <v>46</v>
      </c>
      <c r="H72" s="10">
        <v>56</v>
      </c>
      <c r="I72" s="10"/>
      <c r="J72" s="10"/>
      <c r="K72" s="10"/>
      <c r="L72" s="10"/>
      <c r="M72" s="1"/>
      <c r="N72" s="1"/>
      <c r="O72" s="1"/>
    </row>
    <row r="73" spans="1:15" ht="15.6" x14ac:dyDescent="0.3">
      <c r="A73" s="9">
        <v>68</v>
      </c>
      <c r="B73" s="18" t="s">
        <v>88</v>
      </c>
      <c r="C73" s="21" t="s">
        <v>201</v>
      </c>
      <c r="D73" s="11" t="s">
        <v>245</v>
      </c>
      <c r="E73" s="29" t="s">
        <v>363</v>
      </c>
      <c r="F73" s="10" t="s">
        <v>16</v>
      </c>
      <c r="G73" s="10" t="s">
        <v>16</v>
      </c>
      <c r="H73" s="10">
        <v>56</v>
      </c>
      <c r="I73" s="10"/>
      <c r="J73" s="10"/>
      <c r="K73" s="10"/>
      <c r="L73" s="10"/>
      <c r="M73" s="1"/>
      <c r="N73" s="1"/>
      <c r="O73" s="1"/>
    </row>
    <row r="74" spans="1:15" ht="15.6" x14ac:dyDescent="0.3">
      <c r="A74" s="9">
        <v>69</v>
      </c>
      <c r="B74" s="18" t="s">
        <v>89</v>
      </c>
      <c r="C74" s="21" t="s">
        <v>202</v>
      </c>
      <c r="D74" s="11" t="s">
        <v>245</v>
      </c>
      <c r="E74" s="29" t="s">
        <v>364</v>
      </c>
      <c r="F74" s="10">
        <v>60</v>
      </c>
      <c r="G74" s="10">
        <v>56</v>
      </c>
      <c r="H74" s="10" t="s">
        <v>16</v>
      </c>
      <c r="I74" s="10"/>
      <c r="J74" s="10"/>
      <c r="K74" s="10"/>
      <c r="L74" s="10"/>
      <c r="M74" s="1"/>
      <c r="N74" s="1"/>
      <c r="O74" s="1"/>
    </row>
    <row r="75" spans="1:15" ht="15.6" x14ac:dyDescent="0.3">
      <c r="A75" s="9">
        <v>70</v>
      </c>
      <c r="B75" s="18" t="s">
        <v>90</v>
      </c>
      <c r="C75" s="21" t="s">
        <v>203</v>
      </c>
      <c r="D75" s="11" t="s">
        <v>245</v>
      </c>
      <c r="E75" s="29" t="s">
        <v>365</v>
      </c>
      <c r="F75" s="10">
        <v>60</v>
      </c>
      <c r="G75" s="10">
        <v>52</v>
      </c>
      <c r="H75" s="10">
        <v>52</v>
      </c>
      <c r="I75" s="10"/>
      <c r="J75" s="10"/>
      <c r="K75" s="10"/>
      <c r="L75" s="10"/>
      <c r="M75" s="1"/>
      <c r="N75" s="1"/>
      <c r="O75" s="1"/>
    </row>
    <row r="76" spans="1:15" ht="15.6" x14ac:dyDescent="0.3">
      <c r="A76" s="9">
        <v>71</v>
      </c>
      <c r="B76" s="18" t="s">
        <v>91</v>
      </c>
      <c r="C76" s="21" t="s">
        <v>204</v>
      </c>
      <c r="D76" s="11" t="s">
        <v>245</v>
      </c>
      <c r="E76" s="29" t="s">
        <v>366</v>
      </c>
      <c r="F76" s="10">
        <v>56</v>
      </c>
      <c r="G76" s="10">
        <v>58</v>
      </c>
      <c r="H76" s="10" t="s">
        <v>16</v>
      </c>
      <c r="I76" s="10"/>
      <c r="J76" s="10"/>
      <c r="K76" s="10"/>
      <c r="L76" s="10"/>
      <c r="M76" s="1"/>
      <c r="N76" s="1"/>
      <c r="O76" s="1"/>
    </row>
    <row r="77" spans="1:15" ht="15.6" x14ac:dyDescent="0.3">
      <c r="A77" s="9">
        <v>72</v>
      </c>
      <c r="B77" s="18" t="s">
        <v>92</v>
      </c>
      <c r="C77" s="21" t="s">
        <v>205</v>
      </c>
      <c r="D77" s="11" t="s">
        <v>245</v>
      </c>
      <c r="E77" s="31" t="s">
        <v>519</v>
      </c>
      <c r="F77" s="10">
        <v>58</v>
      </c>
      <c r="G77" s="10">
        <v>58</v>
      </c>
      <c r="H77" s="10" t="s">
        <v>16</v>
      </c>
      <c r="I77" s="10"/>
      <c r="J77" s="10"/>
      <c r="K77" s="10"/>
      <c r="L77" s="10"/>
      <c r="M77" s="1"/>
      <c r="N77" s="1"/>
      <c r="O77" s="1"/>
    </row>
    <row r="78" spans="1:15" ht="15.6" x14ac:dyDescent="0.3">
      <c r="A78" s="9">
        <v>73</v>
      </c>
      <c r="B78" s="18" t="s">
        <v>93</v>
      </c>
      <c r="C78" s="21" t="s">
        <v>12</v>
      </c>
      <c r="D78" s="11" t="s">
        <v>245</v>
      </c>
      <c r="E78" s="29" t="s">
        <v>367</v>
      </c>
      <c r="F78" s="10">
        <v>20</v>
      </c>
      <c r="G78" s="10" t="s">
        <v>16</v>
      </c>
      <c r="H78" s="10" t="s">
        <v>16</v>
      </c>
      <c r="I78" s="10"/>
      <c r="J78" s="10"/>
      <c r="K78" s="10"/>
      <c r="L78" s="10"/>
      <c r="M78" s="1"/>
      <c r="N78" s="1"/>
      <c r="O78" s="1"/>
    </row>
    <row r="79" spans="1:15" ht="15.6" x14ac:dyDescent="0.3">
      <c r="A79" s="9">
        <v>74</v>
      </c>
      <c r="B79" s="18" t="s">
        <v>94</v>
      </c>
      <c r="C79" s="21" t="s">
        <v>206</v>
      </c>
      <c r="D79" s="11" t="s">
        <v>245</v>
      </c>
      <c r="E79" s="29" t="s">
        <v>368</v>
      </c>
      <c r="F79" s="10">
        <v>60</v>
      </c>
      <c r="G79" s="10">
        <v>56</v>
      </c>
      <c r="H79" s="10" t="s">
        <v>16</v>
      </c>
      <c r="I79" s="10"/>
      <c r="J79" s="10"/>
      <c r="K79" s="10"/>
      <c r="L79" s="10"/>
      <c r="M79" s="1"/>
      <c r="N79" s="1"/>
      <c r="O79" s="1"/>
    </row>
    <row r="80" spans="1:15" ht="15.6" x14ac:dyDescent="0.3">
      <c r="A80" s="9">
        <v>75</v>
      </c>
      <c r="B80" s="18" t="s">
        <v>95</v>
      </c>
      <c r="C80" s="21" t="s">
        <v>207</v>
      </c>
      <c r="D80" s="11" t="s">
        <v>245</v>
      </c>
      <c r="E80" s="30" t="s">
        <v>369</v>
      </c>
      <c r="F80" s="10">
        <v>58</v>
      </c>
      <c r="G80" s="10">
        <v>58</v>
      </c>
      <c r="H80" s="10">
        <v>60</v>
      </c>
      <c r="I80" s="10"/>
      <c r="J80" s="10"/>
      <c r="K80" s="10"/>
      <c r="L80" s="10"/>
      <c r="M80" s="1"/>
      <c r="N80" s="1"/>
      <c r="O80" s="1"/>
    </row>
    <row r="81" spans="1:15" ht="15.6" x14ac:dyDescent="0.3">
      <c r="A81" s="9">
        <v>76</v>
      </c>
      <c r="B81" s="18" t="s">
        <v>96</v>
      </c>
      <c r="C81" s="21" t="s">
        <v>208</v>
      </c>
      <c r="D81" s="11" t="s">
        <v>245</v>
      </c>
      <c r="E81" s="29" t="s">
        <v>370</v>
      </c>
      <c r="F81" s="10">
        <v>0</v>
      </c>
      <c r="G81" s="10">
        <v>58</v>
      </c>
      <c r="H81" s="10" t="s">
        <v>16</v>
      </c>
      <c r="I81" s="10"/>
      <c r="J81" s="10"/>
      <c r="K81" s="10"/>
      <c r="L81" s="10"/>
      <c r="M81" s="1"/>
      <c r="N81" s="1"/>
      <c r="O81" s="1"/>
    </row>
    <row r="82" spans="1:15" ht="15.6" x14ac:dyDescent="0.3">
      <c r="A82" s="9">
        <v>77</v>
      </c>
      <c r="B82" s="18" t="s">
        <v>97</v>
      </c>
      <c r="C82" s="21" t="s">
        <v>209</v>
      </c>
      <c r="D82" s="11" t="s">
        <v>245</v>
      </c>
      <c r="E82" s="29" t="s">
        <v>371</v>
      </c>
      <c r="F82" s="10">
        <v>60</v>
      </c>
      <c r="G82" s="10" t="s">
        <v>16</v>
      </c>
      <c r="H82" s="10" t="s">
        <v>16</v>
      </c>
      <c r="I82" s="10"/>
      <c r="J82" s="10"/>
      <c r="K82" s="10"/>
      <c r="L82" s="10"/>
      <c r="M82" s="1"/>
      <c r="N82" s="1"/>
      <c r="O82" s="1"/>
    </row>
    <row r="83" spans="1:15" ht="15.6" x14ac:dyDescent="0.3">
      <c r="A83" s="9">
        <v>78</v>
      </c>
      <c r="B83" s="18" t="s">
        <v>98</v>
      </c>
      <c r="C83" s="21" t="s">
        <v>210</v>
      </c>
      <c r="D83" s="11" t="s">
        <v>245</v>
      </c>
      <c r="E83" s="29" t="s">
        <v>372</v>
      </c>
      <c r="F83" s="10">
        <v>58</v>
      </c>
      <c r="G83" s="10">
        <v>56</v>
      </c>
      <c r="H83" s="10" t="s">
        <v>16</v>
      </c>
      <c r="I83" s="10"/>
      <c r="J83" s="10"/>
      <c r="K83" s="10"/>
      <c r="L83" s="10"/>
      <c r="M83" s="1"/>
      <c r="N83" s="1"/>
      <c r="O83" s="1"/>
    </row>
    <row r="84" spans="1:15" ht="15.6" x14ac:dyDescent="0.3">
      <c r="A84" s="9">
        <v>79</v>
      </c>
      <c r="B84" s="18" t="s">
        <v>99</v>
      </c>
      <c r="C84" s="21" t="s">
        <v>211</v>
      </c>
      <c r="D84" s="11" t="s">
        <v>245</v>
      </c>
      <c r="E84" s="31" t="s">
        <v>516</v>
      </c>
      <c r="F84" s="10">
        <v>24</v>
      </c>
      <c r="G84" s="10">
        <v>54</v>
      </c>
      <c r="H84" s="10">
        <v>58</v>
      </c>
      <c r="I84" s="10"/>
      <c r="J84" s="10"/>
      <c r="K84" s="10"/>
      <c r="L84" s="10"/>
      <c r="M84" s="1"/>
      <c r="N84" s="1"/>
      <c r="O84" s="1"/>
    </row>
    <row r="85" spans="1:15" ht="15.6" x14ac:dyDescent="0.3">
      <c r="A85" s="9">
        <v>80</v>
      </c>
      <c r="B85" s="18" t="s">
        <v>100</v>
      </c>
      <c r="C85" s="21" t="s">
        <v>13</v>
      </c>
      <c r="D85" s="11" t="s">
        <v>245</v>
      </c>
      <c r="E85" s="29" t="s">
        <v>373</v>
      </c>
      <c r="F85" s="10">
        <v>60</v>
      </c>
      <c r="G85" s="10">
        <v>56</v>
      </c>
      <c r="H85" s="10" t="s">
        <v>16</v>
      </c>
      <c r="I85" s="10"/>
      <c r="J85" s="10"/>
      <c r="K85" s="10"/>
      <c r="L85" s="10"/>
      <c r="M85" s="1"/>
      <c r="N85" s="1"/>
      <c r="O85" s="1"/>
    </row>
    <row r="86" spans="1:15" ht="15.6" x14ac:dyDescent="0.3">
      <c r="A86" s="9">
        <v>81</v>
      </c>
      <c r="B86" s="18" t="s">
        <v>101</v>
      </c>
      <c r="C86" s="21" t="s">
        <v>212</v>
      </c>
      <c r="D86" s="11" t="s">
        <v>245</v>
      </c>
      <c r="E86" s="29" t="s">
        <v>374</v>
      </c>
      <c r="F86" s="10">
        <v>60</v>
      </c>
      <c r="G86" s="10">
        <v>58</v>
      </c>
      <c r="H86" s="10" t="s">
        <v>16</v>
      </c>
      <c r="I86" s="10"/>
      <c r="J86" s="10"/>
      <c r="K86" s="10"/>
      <c r="L86" s="10"/>
      <c r="M86" s="1"/>
      <c r="N86" s="1"/>
      <c r="O86" s="1"/>
    </row>
    <row r="87" spans="1:15" ht="15.6" x14ac:dyDescent="0.3">
      <c r="A87" s="9">
        <v>82</v>
      </c>
      <c r="B87" s="18" t="s">
        <v>102</v>
      </c>
      <c r="C87" s="21" t="s">
        <v>213</v>
      </c>
      <c r="D87" s="11" t="s">
        <v>245</v>
      </c>
      <c r="E87" s="29" t="s">
        <v>375</v>
      </c>
      <c r="F87" s="10">
        <v>58</v>
      </c>
      <c r="G87" s="10">
        <v>60</v>
      </c>
      <c r="H87" s="10">
        <v>58</v>
      </c>
      <c r="I87" s="10"/>
      <c r="J87" s="10"/>
      <c r="K87" s="10"/>
      <c r="L87" s="10"/>
      <c r="M87" s="1"/>
      <c r="N87" s="1"/>
      <c r="O87" s="1"/>
    </row>
    <row r="88" spans="1:15" ht="15.6" x14ac:dyDescent="0.3">
      <c r="A88" s="9">
        <v>83</v>
      </c>
      <c r="B88" s="18" t="s">
        <v>103</v>
      </c>
      <c r="C88" s="21" t="s">
        <v>214</v>
      </c>
      <c r="D88" s="11" t="s">
        <v>245</v>
      </c>
      <c r="E88" s="29" t="s">
        <v>376</v>
      </c>
      <c r="F88" s="10">
        <v>58</v>
      </c>
      <c r="G88" s="10" t="s">
        <v>16</v>
      </c>
      <c r="H88" s="10" t="s">
        <v>16</v>
      </c>
      <c r="I88" s="10"/>
      <c r="J88" s="10"/>
      <c r="K88" s="10"/>
      <c r="L88" s="10"/>
      <c r="M88" s="1"/>
      <c r="N88" s="1"/>
      <c r="O88" s="1"/>
    </row>
    <row r="89" spans="1:15" ht="15.6" x14ac:dyDescent="0.3">
      <c r="A89" s="9">
        <v>84</v>
      </c>
      <c r="B89" s="18" t="s">
        <v>104</v>
      </c>
      <c r="C89" s="21" t="s">
        <v>215</v>
      </c>
      <c r="D89" s="11" t="s">
        <v>245</v>
      </c>
      <c r="E89" s="29" t="s">
        <v>377</v>
      </c>
      <c r="F89" s="10" t="s">
        <v>16</v>
      </c>
      <c r="G89" s="10" t="s">
        <v>16</v>
      </c>
      <c r="H89" s="10" t="s">
        <v>16</v>
      </c>
      <c r="I89" s="10"/>
      <c r="J89" s="10"/>
      <c r="K89" s="10"/>
      <c r="L89" s="10"/>
      <c r="M89" s="1"/>
      <c r="N89" s="1"/>
      <c r="O89" s="1"/>
    </row>
    <row r="90" spans="1:15" ht="15.6" x14ac:dyDescent="0.3">
      <c r="A90" s="9">
        <v>85</v>
      </c>
      <c r="B90" s="18" t="s">
        <v>105</v>
      </c>
      <c r="C90" s="21" t="s">
        <v>216</v>
      </c>
      <c r="D90" s="11" t="s">
        <v>245</v>
      </c>
      <c r="E90" s="29" t="s">
        <v>378</v>
      </c>
      <c r="F90" s="10">
        <v>56</v>
      </c>
      <c r="G90" s="10">
        <v>54</v>
      </c>
      <c r="H90" s="10" t="s">
        <v>16</v>
      </c>
      <c r="I90" s="10"/>
      <c r="J90" s="10"/>
      <c r="K90" s="10"/>
      <c r="L90" s="10"/>
      <c r="M90" s="1"/>
      <c r="N90" s="1"/>
      <c r="O90" s="1"/>
    </row>
    <row r="91" spans="1:15" ht="15.6" x14ac:dyDescent="0.3">
      <c r="A91" s="9">
        <v>86</v>
      </c>
      <c r="B91" s="18" t="s">
        <v>106</v>
      </c>
      <c r="C91" s="21" t="s">
        <v>217</v>
      </c>
      <c r="D91" s="11" t="s">
        <v>245</v>
      </c>
      <c r="E91" s="29" t="s">
        <v>379</v>
      </c>
      <c r="F91" s="10">
        <v>58</v>
      </c>
      <c r="G91" s="10">
        <v>58</v>
      </c>
      <c r="H91" s="10" t="s">
        <v>16</v>
      </c>
      <c r="I91" s="10"/>
      <c r="J91" s="10"/>
      <c r="K91" s="10"/>
      <c r="L91" s="10"/>
      <c r="M91" s="1"/>
      <c r="N91" s="1"/>
      <c r="O91" s="1"/>
    </row>
    <row r="92" spans="1:15" ht="15.6" x14ac:dyDescent="0.3">
      <c r="A92" s="9">
        <v>87</v>
      </c>
      <c r="B92" s="18" t="s">
        <v>107</v>
      </c>
      <c r="C92" s="21" t="s">
        <v>218</v>
      </c>
      <c r="D92" s="11" t="s">
        <v>245</v>
      </c>
      <c r="E92" s="29" t="s">
        <v>380</v>
      </c>
      <c r="F92" s="10">
        <v>60</v>
      </c>
      <c r="G92" s="10">
        <v>56</v>
      </c>
      <c r="H92" s="10" t="s">
        <v>16</v>
      </c>
      <c r="I92" s="10"/>
      <c r="J92" s="10"/>
      <c r="K92" s="10"/>
      <c r="L92" s="10"/>
      <c r="M92" s="1"/>
      <c r="N92" s="1"/>
      <c r="O92" s="1"/>
    </row>
    <row r="93" spans="1:15" ht="15.6" x14ac:dyDescent="0.3">
      <c r="A93" s="9">
        <v>88</v>
      </c>
      <c r="B93" s="18" t="s">
        <v>108</v>
      </c>
      <c r="C93" s="21" t="s">
        <v>219</v>
      </c>
      <c r="D93" s="11" t="s">
        <v>245</v>
      </c>
      <c r="E93" s="29" t="s">
        <v>381</v>
      </c>
      <c r="F93" s="10">
        <v>58</v>
      </c>
      <c r="G93" s="10">
        <v>58</v>
      </c>
      <c r="H93" s="10" t="s">
        <v>16</v>
      </c>
      <c r="I93" s="10"/>
      <c r="J93" s="10"/>
      <c r="K93" s="10"/>
      <c r="L93" s="10"/>
      <c r="M93" s="1"/>
      <c r="N93" s="1"/>
      <c r="O93" s="1"/>
    </row>
    <row r="94" spans="1:15" ht="15.6" x14ac:dyDescent="0.3">
      <c r="A94" s="9">
        <v>89</v>
      </c>
      <c r="B94" s="18" t="s">
        <v>109</v>
      </c>
      <c r="C94" s="21" t="s">
        <v>220</v>
      </c>
      <c r="D94" s="11" t="s">
        <v>245</v>
      </c>
      <c r="E94" s="29" t="s">
        <v>382</v>
      </c>
      <c r="F94" s="10">
        <v>58</v>
      </c>
      <c r="G94" s="10">
        <v>58</v>
      </c>
      <c r="H94" s="10" t="s">
        <v>16</v>
      </c>
      <c r="I94" s="10"/>
      <c r="J94" s="10"/>
      <c r="K94" s="10"/>
      <c r="L94" s="10"/>
      <c r="M94" s="1"/>
      <c r="N94" s="1"/>
      <c r="O94" s="1"/>
    </row>
    <row r="95" spans="1:15" ht="15.6" x14ac:dyDescent="0.3">
      <c r="A95" s="9">
        <v>90</v>
      </c>
      <c r="B95" s="18" t="s">
        <v>110</v>
      </c>
      <c r="C95" s="21" t="s">
        <v>221</v>
      </c>
      <c r="D95" s="11" t="s">
        <v>245</v>
      </c>
      <c r="E95" s="29" t="s">
        <v>383</v>
      </c>
      <c r="F95" s="10">
        <v>60</v>
      </c>
      <c r="G95" s="10">
        <v>58</v>
      </c>
      <c r="H95" s="10">
        <v>34</v>
      </c>
      <c r="I95" s="10"/>
      <c r="J95" s="10"/>
      <c r="K95" s="10"/>
      <c r="L95" s="10"/>
      <c r="M95" s="1"/>
      <c r="N95" s="1"/>
      <c r="O95" s="1"/>
    </row>
    <row r="96" spans="1:15" ht="15.6" x14ac:dyDescent="0.3">
      <c r="A96" s="9">
        <v>91</v>
      </c>
      <c r="B96" s="18" t="s">
        <v>111</v>
      </c>
      <c r="C96" s="21" t="s">
        <v>222</v>
      </c>
      <c r="D96" s="11" t="s">
        <v>245</v>
      </c>
      <c r="E96" s="29" t="s">
        <v>384</v>
      </c>
      <c r="F96" s="10">
        <v>60</v>
      </c>
      <c r="G96" s="10">
        <v>56</v>
      </c>
      <c r="H96" s="10" t="s">
        <v>16</v>
      </c>
      <c r="I96" s="10"/>
      <c r="J96" s="10"/>
      <c r="K96" s="10"/>
      <c r="L96" s="10"/>
      <c r="M96" s="1"/>
      <c r="N96" s="1"/>
      <c r="O96" s="1"/>
    </row>
    <row r="97" spans="1:15" ht="15.6" x14ac:dyDescent="0.3">
      <c r="A97" s="9">
        <v>92</v>
      </c>
      <c r="B97" s="18" t="s">
        <v>112</v>
      </c>
      <c r="C97" s="21" t="s">
        <v>223</v>
      </c>
      <c r="D97" s="11" t="s">
        <v>245</v>
      </c>
      <c r="E97" s="29" t="s">
        <v>385</v>
      </c>
      <c r="F97" s="10">
        <v>60</v>
      </c>
      <c r="G97" s="10">
        <v>44</v>
      </c>
      <c r="H97" s="10" t="s">
        <v>16</v>
      </c>
      <c r="I97" s="10"/>
      <c r="J97" s="10"/>
      <c r="K97" s="10"/>
      <c r="L97" s="10"/>
      <c r="M97" s="1"/>
      <c r="N97" s="1"/>
      <c r="O97" s="1"/>
    </row>
    <row r="98" spans="1:15" ht="15.6" x14ac:dyDescent="0.3">
      <c r="A98" s="9">
        <v>93</v>
      </c>
      <c r="B98" s="18" t="s">
        <v>113</v>
      </c>
      <c r="C98" s="21" t="s">
        <v>224</v>
      </c>
      <c r="D98" s="11" t="s">
        <v>245</v>
      </c>
      <c r="E98" s="29" t="s">
        <v>386</v>
      </c>
      <c r="F98" s="10">
        <v>42</v>
      </c>
      <c r="G98" s="10" t="s">
        <v>16</v>
      </c>
      <c r="H98" s="10">
        <v>48</v>
      </c>
      <c r="I98" s="10"/>
      <c r="J98" s="10"/>
      <c r="K98" s="10"/>
      <c r="L98" s="10"/>
      <c r="M98" s="1"/>
      <c r="N98" s="1"/>
      <c r="O98" s="1"/>
    </row>
    <row r="99" spans="1:15" ht="15.6" x14ac:dyDescent="0.3">
      <c r="A99" s="9">
        <v>94</v>
      </c>
      <c r="B99" s="18" t="s">
        <v>114</v>
      </c>
      <c r="C99" s="21" t="s">
        <v>225</v>
      </c>
      <c r="D99" s="11" t="s">
        <v>245</v>
      </c>
      <c r="E99" s="29" t="s">
        <v>387</v>
      </c>
      <c r="F99" s="10">
        <v>60</v>
      </c>
      <c r="G99" s="10">
        <v>58</v>
      </c>
      <c r="H99" s="10" t="s">
        <v>16</v>
      </c>
      <c r="I99" s="10"/>
      <c r="J99" s="10"/>
      <c r="K99" s="10"/>
      <c r="L99" s="10"/>
      <c r="M99" s="1"/>
      <c r="N99" s="1"/>
      <c r="O99" s="1"/>
    </row>
    <row r="100" spans="1:15" ht="15.6" x14ac:dyDescent="0.3">
      <c r="A100" s="9">
        <v>95</v>
      </c>
      <c r="B100" s="18" t="s">
        <v>115</v>
      </c>
      <c r="C100" s="21" t="s">
        <v>226</v>
      </c>
      <c r="D100" s="11" t="s">
        <v>245</v>
      </c>
      <c r="E100" s="29" t="s">
        <v>388</v>
      </c>
      <c r="F100" s="10">
        <v>60</v>
      </c>
      <c r="G100" s="10">
        <v>54</v>
      </c>
      <c r="H100" s="10" t="s">
        <v>16</v>
      </c>
      <c r="I100" s="10"/>
      <c r="J100" s="10"/>
      <c r="K100" s="10"/>
      <c r="L100" s="10"/>
      <c r="M100" s="1"/>
      <c r="N100" s="1"/>
      <c r="O100" s="1"/>
    </row>
    <row r="101" spans="1:15" ht="15.6" x14ac:dyDescent="0.3">
      <c r="A101" s="9">
        <v>96</v>
      </c>
      <c r="B101" s="18" t="s">
        <v>116</v>
      </c>
      <c r="C101" s="21" t="s">
        <v>227</v>
      </c>
      <c r="D101" s="11" t="s">
        <v>245</v>
      </c>
      <c r="E101" s="29" t="s">
        <v>389</v>
      </c>
      <c r="F101" s="10">
        <v>58</v>
      </c>
      <c r="G101" s="10">
        <v>58</v>
      </c>
      <c r="H101" s="10" t="s">
        <v>16</v>
      </c>
      <c r="I101" s="10"/>
      <c r="J101" s="10"/>
      <c r="K101" s="10"/>
      <c r="L101" s="10"/>
      <c r="M101" s="1"/>
      <c r="N101" s="1"/>
      <c r="O101" s="1"/>
    </row>
    <row r="102" spans="1:15" ht="15.6" x14ac:dyDescent="0.3">
      <c r="A102" s="9">
        <v>97</v>
      </c>
      <c r="B102" s="18" t="s">
        <v>117</v>
      </c>
      <c r="C102" s="21" t="s">
        <v>228</v>
      </c>
      <c r="D102" s="11" t="s">
        <v>245</v>
      </c>
      <c r="E102" s="31" t="s">
        <v>390</v>
      </c>
      <c r="F102" s="10">
        <v>60</v>
      </c>
      <c r="G102" s="10" t="s">
        <v>16</v>
      </c>
      <c r="H102" s="10" t="s">
        <v>16</v>
      </c>
      <c r="I102" s="10"/>
      <c r="J102" s="10"/>
      <c r="K102" s="10"/>
      <c r="L102" s="10"/>
      <c r="M102" s="1"/>
      <c r="N102" s="1"/>
      <c r="O102" s="1"/>
    </row>
    <row r="103" spans="1:15" ht="15.6" x14ac:dyDescent="0.3">
      <c r="A103" s="9">
        <v>98</v>
      </c>
      <c r="B103" s="18" t="s">
        <v>118</v>
      </c>
      <c r="C103" s="21" t="s">
        <v>229</v>
      </c>
      <c r="D103" s="11" t="s">
        <v>245</v>
      </c>
      <c r="E103" s="29" t="s">
        <v>391</v>
      </c>
      <c r="F103" s="10" t="s">
        <v>16</v>
      </c>
      <c r="G103" s="10" t="s">
        <v>16</v>
      </c>
      <c r="H103" s="10" t="s">
        <v>16</v>
      </c>
      <c r="I103" s="10"/>
      <c r="J103" s="10"/>
      <c r="K103" s="10"/>
      <c r="L103" s="10"/>
      <c r="M103" s="1"/>
      <c r="N103" s="1"/>
      <c r="O103" s="1"/>
    </row>
    <row r="104" spans="1:15" ht="15.6" x14ac:dyDescent="0.3">
      <c r="A104" s="9">
        <v>99</v>
      </c>
      <c r="B104" s="18" t="s">
        <v>119</v>
      </c>
      <c r="C104" s="21" t="s">
        <v>230</v>
      </c>
      <c r="D104" s="11" t="s">
        <v>245</v>
      </c>
      <c r="E104" s="29" t="s">
        <v>392</v>
      </c>
      <c r="F104" s="10">
        <v>0</v>
      </c>
      <c r="G104" s="10">
        <v>60</v>
      </c>
      <c r="H104" s="10">
        <v>56</v>
      </c>
      <c r="I104" s="10"/>
      <c r="J104" s="10"/>
      <c r="K104" s="10"/>
      <c r="L104" s="10"/>
      <c r="M104" s="1"/>
      <c r="N104" s="1"/>
      <c r="O104" s="1"/>
    </row>
    <row r="105" spans="1:15" ht="15.6" x14ac:dyDescent="0.3">
      <c r="A105" s="9">
        <v>100</v>
      </c>
      <c r="B105" s="18" t="s">
        <v>120</v>
      </c>
      <c r="C105" s="21" t="s">
        <v>231</v>
      </c>
      <c r="D105" s="11" t="s">
        <v>245</v>
      </c>
      <c r="E105" s="29" t="s">
        <v>393</v>
      </c>
      <c r="F105" s="10">
        <v>60</v>
      </c>
      <c r="G105" s="10">
        <v>56</v>
      </c>
      <c r="H105" s="10" t="s">
        <v>16</v>
      </c>
      <c r="I105" s="10"/>
      <c r="J105" s="10"/>
      <c r="K105" s="10"/>
      <c r="L105" s="10"/>
      <c r="M105" s="1"/>
      <c r="N105" s="1"/>
      <c r="O105" s="1"/>
    </row>
    <row r="106" spans="1:15" ht="15.6" x14ac:dyDescent="0.3">
      <c r="A106" s="9">
        <v>101</v>
      </c>
      <c r="B106" s="18" t="s">
        <v>121</v>
      </c>
      <c r="C106" s="21" t="s">
        <v>232</v>
      </c>
      <c r="D106" s="11" t="s">
        <v>245</v>
      </c>
      <c r="E106" s="29" t="s">
        <v>394</v>
      </c>
      <c r="F106" s="10">
        <v>60</v>
      </c>
      <c r="G106" s="10">
        <v>58</v>
      </c>
      <c r="H106" s="10" t="s">
        <v>16</v>
      </c>
      <c r="I106" s="10"/>
      <c r="J106" s="10"/>
      <c r="K106" s="10"/>
      <c r="L106" s="10"/>
      <c r="M106" s="1"/>
      <c r="N106" s="1"/>
      <c r="O106" s="1"/>
    </row>
    <row r="107" spans="1:15" ht="15.6" x14ac:dyDescent="0.3">
      <c r="A107" s="9">
        <v>102</v>
      </c>
      <c r="B107" s="18" t="s">
        <v>122</v>
      </c>
      <c r="C107" s="21" t="s">
        <v>233</v>
      </c>
      <c r="D107" s="11" t="s">
        <v>245</v>
      </c>
      <c r="E107" s="29" t="s">
        <v>395</v>
      </c>
      <c r="F107" s="10">
        <v>58</v>
      </c>
      <c r="G107" s="10">
        <v>58</v>
      </c>
      <c r="H107" s="10" t="s">
        <v>16</v>
      </c>
      <c r="I107" s="10"/>
      <c r="J107" s="10"/>
      <c r="K107" s="10"/>
      <c r="L107" s="10"/>
      <c r="M107" s="1"/>
      <c r="N107" s="1"/>
      <c r="O107" s="1"/>
    </row>
    <row r="108" spans="1:15" ht="15.6" x14ac:dyDescent="0.3">
      <c r="A108" s="9">
        <v>103</v>
      </c>
      <c r="B108" s="18" t="s">
        <v>123</v>
      </c>
      <c r="C108" s="21" t="s">
        <v>234</v>
      </c>
      <c r="D108" s="11" t="s">
        <v>245</v>
      </c>
      <c r="E108" s="29" t="s">
        <v>396</v>
      </c>
      <c r="F108" s="10">
        <v>58</v>
      </c>
      <c r="G108" s="10">
        <v>58</v>
      </c>
      <c r="H108" s="10" t="s">
        <v>16</v>
      </c>
      <c r="I108" s="10"/>
      <c r="J108" s="10"/>
      <c r="K108" s="10"/>
      <c r="L108" s="10"/>
      <c r="M108" s="1"/>
      <c r="N108" s="1"/>
      <c r="O108" s="1"/>
    </row>
    <row r="109" spans="1:15" ht="15.6" x14ac:dyDescent="0.3">
      <c r="A109" s="9">
        <v>104</v>
      </c>
      <c r="B109" s="18" t="s">
        <v>124</v>
      </c>
      <c r="C109" s="21" t="s">
        <v>235</v>
      </c>
      <c r="D109" s="11" t="s">
        <v>245</v>
      </c>
      <c r="E109" s="29" t="s">
        <v>397</v>
      </c>
      <c r="F109" s="10">
        <v>58</v>
      </c>
      <c r="G109" s="10">
        <v>58</v>
      </c>
      <c r="H109" s="10">
        <v>58</v>
      </c>
      <c r="I109" s="10"/>
      <c r="J109" s="10"/>
      <c r="K109" s="10"/>
      <c r="L109" s="10"/>
      <c r="M109" s="1"/>
      <c r="N109" s="1"/>
      <c r="O109" s="1"/>
    </row>
    <row r="110" spans="1:15" ht="15.6" x14ac:dyDescent="0.3">
      <c r="A110" s="9">
        <v>105</v>
      </c>
      <c r="B110" s="18" t="s">
        <v>125</v>
      </c>
      <c r="C110" s="21" t="s">
        <v>236</v>
      </c>
      <c r="D110" s="11" t="s">
        <v>245</v>
      </c>
      <c r="E110" s="29" t="s">
        <v>398</v>
      </c>
      <c r="F110" s="10">
        <v>60</v>
      </c>
      <c r="G110" s="10">
        <v>26</v>
      </c>
      <c r="H110" s="10" t="s">
        <v>16</v>
      </c>
      <c r="I110" s="10"/>
      <c r="J110" s="10"/>
      <c r="K110" s="10"/>
      <c r="L110" s="10"/>
      <c r="M110" s="1"/>
      <c r="N110" s="1"/>
      <c r="O110" s="1"/>
    </row>
    <row r="111" spans="1:15" ht="15.6" x14ac:dyDescent="0.3">
      <c r="A111" s="9">
        <v>106</v>
      </c>
      <c r="B111" s="18" t="s">
        <v>126</v>
      </c>
      <c r="C111" s="21" t="s">
        <v>237</v>
      </c>
      <c r="D111" s="11" t="s">
        <v>245</v>
      </c>
      <c r="E111" s="29" t="s">
        <v>399</v>
      </c>
      <c r="F111" s="10">
        <v>34</v>
      </c>
      <c r="G111" s="10">
        <v>46</v>
      </c>
      <c r="H111" s="10" t="s">
        <v>16</v>
      </c>
      <c r="I111" s="10"/>
      <c r="J111" s="10"/>
      <c r="K111" s="10"/>
      <c r="L111" s="10"/>
      <c r="M111" s="1"/>
      <c r="N111" s="1"/>
      <c r="O111" s="1"/>
    </row>
    <row r="112" spans="1:15" ht="15.6" x14ac:dyDescent="0.3">
      <c r="A112" s="9">
        <v>107</v>
      </c>
      <c r="B112" s="18" t="s">
        <v>127</v>
      </c>
      <c r="C112" s="21" t="s">
        <v>238</v>
      </c>
      <c r="D112" s="11" t="s">
        <v>245</v>
      </c>
      <c r="E112" s="29" t="s">
        <v>400</v>
      </c>
      <c r="F112" s="10">
        <v>58</v>
      </c>
      <c r="G112" s="10" t="s">
        <v>16</v>
      </c>
      <c r="H112" s="10" t="s">
        <v>16</v>
      </c>
      <c r="I112" s="10"/>
      <c r="J112" s="10"/>
      <c r="K112" s="10"/>
      <c r="L112" s="10"/>
      <c r="M112" s="1"/>
      <c r="N112" s="1"/>
      <c r="O112" s="1"/>
    </row>
    <row r="113" spans="1:15" ht="15.6" x14ac:dyDescent="0.3">
      <c r="A113" s="9">
        <v>108</v>
      </c>
      <c r="B113" s="18" t="s">
        <v>128</v>
      </c>
      <c r="C113" s="21" t="s">
        <v>239</v>
      </c>
      <c r="D113" s="11" t="s">
        <v>245</v>
      </c>
      <c r="E113" s="29" t="s">
        <v>401</v>
      </c>
      <c r="F113" s="10">
        <v>50</v>
      </c>
      <c r="G113" s="10">
        <v>56</v>
      </c>
      <c r="H113" s="10" t="s">
        <v>16</v>
      </c>
      <c r="I113" s="10"/>
      <c r="J113" s="10"/>
      <c r="K113" s="10"/>
      <c r="L113" s="10"/>
      <c r="M113" s="1"/>
      <c r="N113" s="1"/>
      <c r="O113" s="1"/>
    </row>
    <row r="114" spans="1:15" ht="15.6" x14ac:dyDescent="0.3">
      <c r="A114" s="9">
        <v>109</v>
      </c>
      <c r="B114" s="18" t="s">
        <v>129</v>
      </c>
      <c r="C114" s="21" t="s">
        <v>240</v>
      </c>
      <c r="D114" s="11" t="s">
        <v>245</v>
      </c>
      <c r="E114" s="29" t="s">
        <v>402</v>
      </c>
      <c r="F114" s="10">
        <v>60</v>
      </c>
      <c r="G114" s="10">
        <v>16</v>
      </c>
      <c r="H114" s="10">
        <v>38</v>
      </c>
      <c r="I114" s="10"/>
      <c r="J114" s="10"/>
      <c r="K114" s="10"/>
      <c r="L114" s="10"/>
      <c r="M114" s="1"/>
      <c r="N114" s="1"/>
      <c r="O114" s="1"/>
    </row>
    <row r="115" spans="1:15" ht="15.6" x14ac:dyDescent="0.3">
      <c r="A115" s="9">
        <v>110</v>
      </c>
      <c r="B115" s="18" t="s">
        <v>130</v>
      </c>
      <c r="C115" s="21" t="s">
        <v>241</v>
      </c>
      <c r="D115" s="11" t="s">
        <v>245</v>
      </c>
      <c r="E115" s="29" t="s">
        <v>403</v>
      </c>
      <c r="F115" s="10">
        <v>60</v>
      </c>
      <c r="G115" s="10">
        <v>0</v>
      </c>
      <c r="H115" s="10">
        <v>56</v>
      </c>
      <c r="I115" s="10"/>
      <c r="J115" s="10"/>
      <c r="K115" s="10"/>
      <c r="L115" s="10"/>
      <c r="M115" s="1"/>
      <c r="N115" s="1"/>
      <c r="O115" s="1"/>
    </row>
    <row r="116" spans="1:15" ht="15.6" x14ac:dyDescent="0.3">
      <c r="A116" s="9">
        <v>111</v>
      </c>
      <c r="B116" s="18" t="s">
        <v>131</v>
      </c>
      <c r="C116" s="21" t="s">
        <v>242</v>
      </c>
      <c r="D116" s="11" t="s">
        <v>245</v>
      </c>
      <c r="E116" s="29" t="s">
        <v>404</v>
      </c>
      <c r="F116" s="10">
        <v>60</v>
      </c>
      <c r="G116" s="10">
        <v>60</v>
      </c>
      <c r="H116" s="10" t="s">
        <v>16</v>
      </c>
      <c r="I116" s="10"/>
      <c r="J116" s="10"/>
      <c r="K116" s="10"/>
      <c r="L116" s="10"/>
      <c r="M116" s="1"/>
      <c r="N116" s="1"/>
      <c r="O116" s="1"/>
    </row>
    <row r="117" spans="1:15" ht="15.6" x14ac:dyDescent="0.3">
      <c r="A117" s="9">
        <v>112</v>
      </c>
      <c r="B117" s="18" t="s">
        <v>132</v>
      </c>
      <c r="C117" s="21" t="s">
        <v>243</v>
      </c>
      <c r="D117" s="11" t="s">
        <v>245</v>
      </c>
      <c r="E117" s="29" t="s">
        <v>405</v>
      </c>
      <c r="F117" s="10">
        <v>60</v>
      </c>
      <c r="G117" s="10">
        <v>62</v>
      </c>
      <c r="H117" s="10" t="s">
        <v>16</v>
      </c>
      <c r="I117" s="10"/>
      <c r="J117" s="10"/>
      <c r="K117" s="10"/>
      <c r="L117" s="10"/>
      <c r="M117" s="1"/>
      <c r="N117" s="1"/>
      <c r="O117" s="1"/>
    </row>
    <row r="118" spans="1:15" ht="15.6" x14ac:dyDescent="0.3">
      <c r="A118" s="9">
        <v>113</v>
      </c>
      <c r="B118" s="18" t="s">
        <v>133</v>
      </c>
      <c r="C118" s="21" t="s">
        <v>244</v>
      </c>
      <c r="D118" s="11" t="s">
        <v>245</v>
      </c>
      <c r="E118" s="29" t="s">
        <v>406</v>
      </c>
      <c r="F118" s="10">
        <v>58</v>
      </c>
      <c r="G118" s="10">
        <v>58</v>
      </c>
      <c r="H118" s="10" t="s">
        <v>16</v>
      </c>
      <c r="I118" s="10"/>
      <c r="J118" s="10"/>
      <c r="K118" s="10"/>
      <c r="L118" s="10"/>
      <c r="M118" s="1"/>
      <c r="N118" s="1"/>
      <c r="O118" s="1"/>
    </row>
    <row r="119" spans="1:15" x14ac:dyDescent="0.3">
      <c r="E119" s="12" t="s">
        <v>4</v>
      </c>
      <c r="F119" s="14">
        <v>60</v>
      </c>
      <c r="G119" s="35">
        <v>60</v>
      </c>
      <c r="H119" s="35">
        <v>60</v>
      </c>
      <c r="I119" s="35"/>
    </row>
    <row r="120" spans="1:15" x14ac:dyDescent="0.3">
      <c r="E120" s="12" t="s">
        <v>10</v>
      </c>
      <c r="F120" s="14">
        <v>113</v>
      </c>
      <c r="G120" s="35">
        <v>113</v>
      </c>
      <c r="H120" s="35">
        <v>113</v>
      </c>
      <c r="I120" s="35"/>
    </row>
    <row r="121" spans="1:15" x14ac:dyDescent="0.3">
      <c r="E121" s="12" t="s">
        <v>17</v>
      </c>
      <c r="F121" s="14">
        <f>+COUNT(F6:F118)</f>
        <v>94</v>
      </c>
      <c r="G121" s="14">
        <f>+COUNT(G6:G118)</f>
        <v>81</v>
      </c>
      <c r="H121" s="14">
        <f>+COUNT(H6:H118)</f>
        <v>36</v>
      </c>
      <c r="I121" s="14"/>
    </row>
    <row r="122" spans="1:15" x14ac:dyDescent="0.3">
      <c r="E122" s="12" t="s">
        <v>18</v>
      </c>
      <c r="F122" s="14">
        <f>F120-F121</f>
        <v>19</v>
      </c>
      <c r="G122" s="14">
        <f>G120-G121</f>
        <v>32</v>
      </c>
      <c r="H122" s="14">
        <f>H120-H121</f>
        <v>77</v>
      </c>
      <c r="I122" s="14"/>
    </row>
    <row r="123" spans="1:15" x14ac:dyDescent="0.3">
      <c r="E123" s="13" t="s">
        <v>8</v>
      </c>
      <c r="F123" s="14">
        <f>COUNTIF(F6:F118,"&gt;=20")</f>
        <v>88</v>
      </c>
      <c r="G123" s="14">
        <f>COUNTIF(G6:G118,"&gt;=20")</f>
        <v>76</v>
      </c>
      <c r="H123" s="14">
        <f>COUNTIF(H6:H118,"&gt;=20")</f>
        <v>36</v>
      </c>
      <c r="I123" s="14"/>
    </row>
    <row r="124" spans="1:15" x14ac:dyDescent="0.3">
      <c r="E124" s="13" t="s">
        <v>9</v>
      </c>
      <c r="F124" s="14">
        <f>COUNTIF(F6:F118,"&lt;=20")</f>
        <v>7</v>
      </c>
      <c r="G124" s="14">
        <f>COUNTIF(G6:G118,"&lt;=20")</f>
        <v>6</v>
      </c>
      <c r="H124" s="14">
        <f>COUNTIF(H6:H118,"&lt;=20")</f>
        <v>0</v>
      </c>
      <c r="I124" s="14"/>
    </row>
    <row r="125" spans="1:15" x14ac:dyDescent="0.3">
      <c r="F125"/>
    </row>
    <row r="126" spans="1:15" x14ac:dyDescent="0.3">
      <c r="F126"/>
    </row>
    <row r="127" spans="1:15" x14ac:dyDescent="0.3">
      <c r="F127"/>
    </row>
    <row r="128" spans="1:15" x14ac:dyDescent="0.3">
      <c r="F128"/>
    </row>
    <row r="129" spans="6:6" x14ac:dyDescent="0.3">
      <c r="F129"/>
    </row>
    <row r="130" spans="6:6" x14ac:dyDescent="0.3">
      <c r="F130"/>
    </row>
    <row r="131" spans="6:6" x14ac:dyDescent="0.3">
      <c r="F131"/>
    </row>
    <row r="132" spans="6:6" x14ac:dyDescent="0.3">
      <c r="F132"/>
    </row>
    <row r="133" spans="6:6" x14ac:dyDescent="0.3">
      <c r="F133"/>
    </row>
    <row r="134" spans="6:6" x14ac:dyDescent="0.3">
      <c r="F134"/>
    </row>
    <row r="135" spans="6:6" x14ac:dyDescent="0.3">
      <c r="F135"/>
    </row>
    <row r="136" spans="6:6" x14ac:dyDescent="0.3">
      <c r="F136"/>
    </row>
    <row r="137" spans="6:6" x14ac:dyDescent="0.3">
      <c r="F137"/>
    </row>
    <row r="138" spans="6:6" x14ac:dyDescent="0.3">
      <c r="F138"/>
    </row>
    <row r="139" spans="6:6" x14ac:dyDescent="0.3">
      <c r="F139"/>
    </row>
    <row r="140" spans="6:6" x14ac:dyDescent="0.3">
      <c r="F140"/>
    </row>
    <row r="141" spans="6:6" x14ac:dyDescent="0.3">
      <c r="F141"/>
    </row>
    <row r="142" spans="6:6" x14ac:dyDescent="0.3">
      <c r="F142"/>
    </row>
    <row r="143" spans="6:6" x14ac:dyDescent="0.3">
      <c r="F143"/>
    </row>
    <row r="144" spans="6:6" x14ac:dyDescent="0.3">
      <c r="F144"/>
    </row>
    <row r="145" spans="6:6" x14ac:dyDescent="0.3">
      <c r="F145"/>
    </row>
    <row r="146" spans="6:6" x14ac:dyDescent="0.3">
      <c r="F146"/>
    </row>
    <row r="147" spans="6:6" x14ac:dyDescent="0.3">
      <c r="F147"/>
    </row>
    <row r="148" spans="6:6" x14ac:dyDescent="0.3">
      <c r="F148"/>
    </row>
    <row r="149" spans="6:6" x14ac:dyDescent="0.3">
      <c r="F149"/>
    </row>
    <row r="150" spans="6:6" x14ac:dyDescent="0.3">
      <c r="F150"/>
    </row>
    <row r="151" spans="6:6" x14ac:dyDescent="0.3">
      <c r="F151"/>
    </row>
    <row r="152" spans="6:6" x14ac:dyDescent="0.3">
      <c r="F152"/>
    </row>
    <row r="153" spans="6:6" x14ac:dyDescent="0.3">
      <c r="F153"/>
    </row>
    <row r="154" spans="6:6" x14ac:dyDescent="0.3">
      <c r="F154"/>
    </row>
    <row r="155" spans="6:6" x14ac:dyDescent="0.3">
      <c r="F155"/>
    </row>
    <row r="156" spans="6:6" x14ac:dyDescent="0.3">
      <c r="F156"/>
    </row>
    <row r="157" spans="6:6" x14ac:dyDescent="0.3">
      <c r="F157"/>
    </row>
    <row r="158" spans="6:6" x14ac:dyDescent="0.3">
      <c r="F158"/>
    </row>
    <row r="159" spans="6:6" x14ac:dyDescent="0.3">
      <c r="F159"/>
    </row>
    <row r="160" spans="6:6" x14ac:dyDescent="0.3">
      <c r="F160"/>
    </row>
    <row r="161" spans="6:6" x14ac:dyDescent="0.3">
      <c r="F161"/>
    </row>
    <row r="162" spans="6:6" x14ac:dyDescent="0.3">
      <c r="F162"/>
    </row>
    <row r="163" spans="6:6" x14ac:dyDescent="0.3">
      <c r="F163"/>
    </row>
    <row r="164" spans="6:6" x14ac:dyDescent="0.3">
      <c r="F164"/>
    </row>
    <row r="165" spans="6:6" x14ac:dyDescent="0.3">
      <c r="F165"/>
    </row>
    <row r="166" spans="6:6" x14ac:dyDescent="0.3">
      <c r="F166"/>
    </row>
    <row r="167" spans="6:6" x14ac:dyDescent="0.3">
      <c r="F167"/>
    </row>
    <row r="168" spans="6:6" x14ac:dyDescent="0.3">
      <c r="F168"/>
    </row>
    <row r="169" spans="6:6" x14ac:dyDescent="0.3">
      <c r="F169"/>
    </row>
    <row r="170" spans="6:6" x14ac:dyDescent="0.3">
      <c r="F170"/>
    </row>
  </sheetData>
  <autoFilter ref="H4:H124" xr:uid="{00000000-0001-0000-0000-000000000000}"/>
  <mergeCells count="4">
    <mergeCell ref="A1:J1"/>
    <mergeCell ref="A2:J2"/>
    <mergeCell ref="A3:J3"/>
    <mergeCell ref="A4:E4"/>
  </mergeCells>
  <conditionalFormatting sqref="C141:C1048576 C1:C118">
    <cfRule type="duplicateValues" dxfId="4" priority="4"/>
  </conditionalFormatting>
  <conditionalFormatting sqref="E1:E124 E206:E1048576">
    <cfRule type="duplicateValues" dxfId="3" priority="1"/>
  </conditionalFormatting>
  <conditionalFormatting sqref="E1:E124 E219:E1048576">
    <cfRule type="duplicateValues" dxfId="2" priority="2"/>
    <cfRule type="duplicateValues" dxfId="1" priority="3"/>
  </conditionalFormatting>
  <hyperlinks>
    <hyperlink ref="E60" r:id="rId1" xr:uid="{00000000-0004-0000-0000-000000000000}"/>
    <hyperlink ref="E62" r:id="rId2" xr:uid="{00000000-0004-0000-0000-000001000000}"/>
    <hyperlink ref="E80" r:id="rId3" xr:uid="{00000000-0004-0000-0000-000002000000}"/>
    <hyperlink ref="E102" r:id="rId4" xr:uid="{00000000-0004-0000-0000-000003000000}"/>
    <hyperlink ref="E10" r:id="rId5" xr:uid="{00000000-0004-0000-0000-000004000000}"/>
    <hyperlink ref="E7" r:id="rId6" xr:uid="{00000000-0004-0000-0000-000005000000}"/>
    <hyperlink ref="E17" r:id="rId7" xr:uid="{00000000-0004-0000-0000-000006000000}"/>
    <hyperlink ref="E84" r:id="rId8" xr:uid="{00000000-0004-0000-0000-000007000000}"/>
    <hyperlink ref="E50" r:id="rId9" xr:uid="{00000000-0004-0000-0000-000008000000}"/>
    <hyperlink ref="E37" r:id="rId10" xr:uid="{00000000-0004-0000-0000-000009000000}"/>
    <hyperlink ref="E70" r:id="rId11" xr:uid="{00000000-0004-0000-0000-00000A000000}"/>
    <hyperlink ref="E77" r:id="rId12" xr:uid="{00000000-0004-0000-0000-00000B000000}"/>
  </hyperlinks>
  <pageMargins left="0.7" right="0.7" top="0.75" bottom="0.75" header="0.3" footer="0.3"/>
  <pageSetup orientation="portrait" r:id="rId1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5"/>
  <sheetViews>
    <sheetView workbookViewId="0">
      <selection activeCell="A6" sqref="A6"/>
    </sheetView>
  </sheetViews>
  <sheetFormatPr defaultRowHeight="14.4" x14ac:dyDescent="0.3"/>
  <cols>
    <col min="1" max="1" width="5.44140625" customWidth="1"/>
    <col min="2" max="2" width="12.44140625" customWidth="1"/>
    <col min="3" max="3" width="34.77734375" customWidth="1"/>
    <col min="4" max="4" width="11.5546875" customWidth="1"/>
    <col min="5" max="5" width="42.77734375" customWidth="1"/>
    <col min="6" max="6" width="13.21875" style="2" bestFit="1" customWidth="1"/>
    <col min="7" max="8" width="13.21875" bestFit="1" customWidth="1"/>
    <col min="9" max="9" width="12.5546875" customWidth="1"/>
    <col min="10" max="10" width="18" customWidth="1"/>
    <col min="11" max="11" width="12.5546875" customWidth="1"/>
    <col min="12" max="12" width="14.21875" bestFit="1" customWidth="1"/>
    <col min="13" max="13" width="14.21875" style="8" bestFit="1" customWidth="1"/>
    <col min="14" max="15" width="14.21875" bestFit="1" customWidth="1"/>
  </cols>
  <sheetData>
    <row r="1" spans="1:15" s="3" customFormat="1" ht="15.6" x14ac:dyDescent="0.3">
      <c r="A1" s="36" t="s">
        <v>19</v>
      </c>
      <c r="B1" s="36"/>
      <c r="C1" s="36"/>
      <c r="D1" s="36"/>
      <c r="E1" s="36"/>
      <c r="F1" s="36"/>
      <c r="G1" s="36"/>
      <c r="H1" s="36"/>
      <c r="I1" s="36"/>
      <c r="J1" s="36"/>
    </row>
    <row r="2" spans="1:15" s="3" customFormat="1" ht="15.6" x14ac:dyDescent="0.3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</row>
    <row r="3" spans="1:15" s="3" customFormat="1" x14ac:dyDescent="0.3">
      <c r="A3" s="37" t="s">
        <v>407</v>
      </c>
      <c r="B3" s="37"/>
      <c r="C3" s="37"/>
      <c r="D3" s="37"/>
      <c r="E3" s="37"/>
      <c r="F3" s="37"/>
      <c r="G3" s="37"/>
      <c r="H3" s="37"/>
      <c r="I3" s="37"/>
      <c r="J3" s="37"/>
    </row>
    <row r="4" spans="1:15" x14ac:dyDescent="0.3">
      <c r="A4" s="38" t="s">
        <v>1</v>
      </c>
      <c r="B4" s="39"/>
      <c r="C4" s="39"/>
      <c r="D4" s="39"/>
      <c r="E4" s="39"/>
      <c r="F4" s="7" t="s">
        <v>15</v>
      </c>
      <c r="G4" s="7" t="s">
        <v>514</v>
      </c>
      <c r="H4" s="7" t="s">
        <v>515</v>
      </c>
      <c r="I4" s="7"/>
      <c r="J4" s="7"/>
      <c r="K4" s="7"/>
      <c r="L4" s="7"/>
      <c r="M4" s="7"/>
      <c r="N4" s="7"/>
      <c r="O4" s="7"/>
    </row>
    <row r="5" spans="1:15" x14ac:dyDescent="0.3">
      <c r="A5" s="4" t="s">
        <v>2</v>
      </c>
      <c r="B5" s="5" t="s">
        <v>5</v>
      </c>
      <c r="C5" s="4" t="s">
        <v>3</v>
      </c>
      <c r="D5" s="4" t="s">
        <v>6</v>
      </c>
      <c r="E5" s="4" t="s">
        <v>7</v>
      </c>
      <c r="F5" s="6">
        <v>46063</v>
      </c>
      <c r="G5" s="6">
        <v>46064</v>
      </c>
      <c r="H5" s="6">
        <v>46065</v>
      </c>
      <c r="I5" s="6"/>
      <c r="J5" s="6"/>
      <c r="K5" s="6"/>
      <c r="L5" s="6"/>
      <c r="M5" s="6"/>
      <c r="N5" s="6"/>
      <c r="O5" s="6"/>
    </row>
    <row r="6" spans="1:15" ht="15.6" x14ac:dyDescent="0.3">
      <c r="A6" s="9">
        <v>1</v>
      </c>
      <c r="B6" s="32" t="s">
        <v>408</v>
      </c>
      <c r="C6" s="22" t="s">
        <v>461</v>
      </c>
      <c r="D6" s="11" t="s">
        <v>11</v>
      </c>
      <c r="E6" s="22" t="s">
        <v>246</v>
      </c>
      <c r="F6" s="10">
        <v>54</v>
      </c>
      <c r="G6" s="10" t="s">
        <v>16</v>
      </c>
      <c r="H6" s="10" t="s">
        <v>16</v>
      </c>
      <c r="I6" s="10"/>
      <c r="J6" s="10"/>
      <c r="K6" s="10"/>
      <c r="L6" s="10"/>
      <c r="M6" s="1"/>
      <c r="N6" s="1"/>
      <c r="O6" s="1"/>
    </row>
    <row r="7" spans="1:15" ht="15.6" x14ac:dyDescent="0.3">
      <c r="A7" s="9">
        <v>2</v>
      </c>
      <c r="B7" s="32" t="s">
        <v>409</v>
      </c>
      <c r="C7" s="26" t="s">
        <v>462</v>
      </c>
      <c r="D7" s="11" t="s">
        <v>11</v>
      </c>
      <c r="E7" s="22" t="s">
        <v>247</v>
      </c>
      <c r="F7" s="10">
        <v>56</v>
      </c>
      <c r="G7" s="10" t="s">
        <v>16</v>
      </c>
      <c r="H7" s="10" t="s">
        <v>16</v>
      </c>
      <c r="I7" s="10"/>
      <c r="J7" s="10"/>
      <c r="K7" s="10"/>
      <c r="L7" s="10"/>
      <c r="M7" s="1"/>
      <c r="N7" s="1"/>
      <c r="O7" s="1"/>
    </row>
    <row r="8" spans="1:15" ht="15.6" x14ac:dyDescent="0.3">
      <c r="A8" s="9">
        <v>3</v>
      </c>
      <c r="B8" s="32" t="s">
        <v>410</v>
      </c>
      <c r="C8" s="26" t="s">
        <v>463</v>
      </c>
      <c r="D8" s="11" t="s">
        <v>11</v>
      </c>
      <c r="E8" s="22" t="s">
        <v>248</v>
      </c>
      <c r="F8" s="10">
        <v>54</v>
      </c>
      <c r="G8" s="10">
        <v>48</v>
      </c>
      <c r="H8" s="10">
        <v>56</v>
      </c>
      <c r="I8" s="10"/>
      <c r="J8" s="10"/>
      <c r="K8" s="10"/>
      <c r="L8" s="10"/>
      <c r="M8" s="1"/>
      <c r="N8" s="1"/>
      <c r="O8" s="1"/>
    </row>
    <row r="9" spans="1:15" ht="15.6" x14ac:dyDescent="0.3">
      <c r="A9" s="9">
        <v>4</v>
      </c>
      <c r="B9" s="32" t="s">
        <v>411</v>
      </c>
      <c r="C9" s="26" t="s">
        <v>464</v>
      </c>
      <c r="D9" s="11" t="s">
        <v>11</v>
      </c>
      <c r="E9" s="22" t="s">
        <v>249</v>
      </c>
      <c r="F9" s="10" t="s">
        <v>16</v>
      </c>
      <c r="G9" s="10" t="s">
        <v>16</v>
      </c>
      <c r="H9" s="10">
        <v>16</v>
      </c>
      <c r="I9" s="10"/>
      <c r="J9" s="10"/>
      <c r="K9" s="10"/>
      <c r="L9" s="10"/>
      <c r="M9" s="1"/>
      <c r="N9" s="1"/>
      <c r="O9" s="1"/>
    </row>
    <row r="10" spans="1:15" ht="15.6" x14ac:dyDescent="0.3">
      <c r="A10" s="9">
        <v>5</v>
      </c>
      <c r="B10" s="32" t="s">
        <v>412</v>
      </c>
      <c r="C10" s="26" t="s">
        <v>465</v>
      </c>
      <c r="D10" s="11" t="s">
        <v>11</v>
      </c>
      <c r="E10" s="22" t="s">
        <v>250</v>
      </c>
      <c r="F10" s="10" t="s">
        <v>16</v>
      </c>
      <c r="G10" s="10" t="s">
        <v>16</v>
      </c>
      <c r="H10" s="10">
        <v>24</v>
      </c>
      <c r="I10" s="10"/>
      <c r="J10" s="10"/>
      <c r="K10" s="10"/>
      <c r="L10" s="10"/>
      <c r="M10" s="1"/>
      <c r="N10" s="1"/>
      <c r="O10" s="1"/>
    </row>
    <row r="11" spans="1:15" ht="15.6" x14ac:dyDescent="0.3">
      <c r="A11" s="9">
        <v>6</v>
      </c>
      <c r="B11" s="17" t="s">
        <v>413</v>
      </c>
      <c r="C11" s="22" t="s">
        <v>466</v>
      </c>
      <c r="D11" s="11" t="s">
        <v>11</v>
      </c>
      <c r="E11" s="22" t="s">
        <v>251</v>
      </c>
      <c r="F11" s="10" t="s">
        <v>16</v>
      </c>
      <c r="G11" s="10" t="s">
        <v>16</v>
      </c>
      <c r="H11" s="10">
        <v>54</v>
      </c>
      <c r="I11" s="10"/>
      <c r="J11" s="10"/>
      <c r="K11" s="10"/>
      <c r="L11" s="10"/>
      <c r="M11" s="1"/>
      <c r="N11" s="1"/>
      <c r="O11" s="1"/>
    </row>
    <row r="12" spans="1:15" ht="15.6" x14ac:dyDescent="0.3">
      <c r="A12" s="9">
        <v>7</v>
      </c>
      <c r="B12" s="32" t="s">
        <v>414</v>
      </c>
      <c r="C12" s="26" t="s">
        <v>467</v>
      </c>
      <c r="D12" s="11" t="s">
        <v>11</v>
      </c>
      <c r="E12" s="22" t="s">
        <v>252</v>
      </c>
      <c r="F12" s="10">
        <v>22</v>
      </c>
      <c r="G12" s="10">
        <v>0</v>
      </c>
      <c r="H12" s="10">
        <v>60</v>
      </c>
      <c r="I12" s="10"/>
      <c r="J12" s="10"/>
      <c r="K12" s="10"/>
      <c r="L12" s="10"/>
      <c r="M12" s="1"/>
      <c r="N12" s="1"/>
      <c r="O12" s="1"/>
    </row>
    <row r="13" spans="1:15" ht="15.6" x14ac:dyDescent="0.3">
      <c r="A13" s="9">
        <v>8</v>
      </c>
      <c r="B13" s="32" t="s">
        <v>415</v>
      </c>
      <c r="C13" s="26" t="s">
        <v>468</v>
      </c>
      <c r="D13" s="11" t="s">
        <v>11</v>
      </c>
      <c r="E13" s="22" t="s">
        <v>253</v>
      </c>
      <c r="F13" s="10">
        <v>58</v>
      </c>
      <c r="G13" s="10">
        <v>46</v>
      </c>
      <c r="H13" s="10">
        <v>26</v>
      </c>
      <c r="I13" s="10"/>
      <c r="J13" s="10"/>
      <c r="K13" s="10"/>
      <c r="L13" s="10"/>
      <c r="M13" s="1"/>
      <c r="N13" s="1"/>
      <c r="O13" s="1"/>
    </row>
    <row r="14" spans="1:15" ht="15.6" x14ac:dyDescent="0.3">
      <c r="A14" s="9">
        <v>9</v>
      </c>
      <c r="B14" s="32" t="s">
        <v>416</v>
      </c>
      <c r="C14" s="26" t="s">
        <v>469</v>
      </c>
      <c r="D14" s="11" t="s">
        <v>11</v>
      </c>
      <c r="E14" s="22" t="s">
        <v>254</v>
      </c>
      <c r="F14" s="10">
        <v>30</v>
      </c>
      <c r="G14" s="10">
        <v>34</v>
      </c>
      <c r="H14" s="10" t="s">
        <v>16</v>
      </c>
      <c r="I14" s="10"/>
      <c r="J14" s="10"/>
      <c r="K14" s="10"/>
      <c r="L14" s="10"/>
      <c r="M14" s="1"/>
      <c r="N14" s="1"/>
      <c r="O14" s="1"/>
    </row>
    <row r="15" spans="1:15" ht="15.6" x14ac:dyDescent="0.3">
      <c r="A15" s="9">
        <v>10</v>
      </c>
      <c r="B15" s="17" t="s">
        <v>417</v>
      </c>
      <c r="C15" s="22" t="s">
        <v>470</v>
      </c>
      <c r="D15" s="11" t="s">
        <v>11</v>
      </c>
      <c r="E15" s="22" t="s">
        <v>255</v>
      </c>
      <c r="F15" s="10">
        <v>4</v>
      </c>
      <c r="G15" s="10">
        <v>54</v>
      </c>
      <c r="H15" s="10">
        <v>56</v>
      </c>
      <c r="I15" s="10"/>
      <c r="J15" s="10"/>
      <c r="K15" s="10"/>
      <c r="L15" s="10"/>
      <c r="M15" s="1"/>
      <c r="N15" s="1"/>
      <c r="O15" s="1"/>
    </row>
    <row r="16" spans="1:15" ht="15.6" x14ac:dyDescent="0.3">
      <c r="A16" s="9">
        <v>11</v>
      </c>
      <c r="B16" s="32" t="s">
        <v>418</v>
      </c>
      <c r="C16" s="26" t="s">
        <v>471</v>
      </c>
      <c r="D16" s="11" t="s">
        <v>11</v>
      </c>
      <c r="E16" s="22" t="s">
        <v>256</v>
      </c>
      <c r="F16" s="10" t="s">
        <v>16</v>
      </c>
      <c r="G16" s="10" t="s">
        <v>16</v>
      </c>
      <c r="H16" s="10">
        <v>56</v>
      </c>
      <c r="I16" s="10"/>
      <c r="J16" s="10"/>
      <c r="K16" s="10"/>
      <c r="L16" s="10"/>
      <c r="M16" s="1"/>
      <c r="N16" s="1"/>
      <c r="O16" s="1"/>
    </row>
    <row r="17" spans="1:15" ht="15.6" x14ac:dyDescent="0.3">
      <c r="A17" s="9">
        <v>12</v>
      </c>
      <c r="B17" s="32" t="s">
        <v>77</v>
      </c>
      <c r="C17" s="26" t="s">
        <v>472</v>
      </c>
      <c r="D17" s="11" t="s">
        <v>11</v>
      </c>
      <c r="E17" s="23" t="s">
        <v>257</v>
      </c>
      <c r="F17" s="10" t="s">
        <v>16</v>
      </c>
      <c r="G17" s="10" t="s">
        <v>16</v>
      </c>
      <c r="H17" s="10" t="s">
        <v>16</v>
      </c>
      <c r="I17" s="10"/>
      <c r="J17" s="10"/>
      <c r="K17" s="10"/>
      <c r="L17" s="10"/>
      <c r="M17" s="1"/>
      <c r="N17" s="1"/>
      <c r="O17" s="1"/>
    </row>
    <row r="18" spans="1:15" ht="15.6" x14ac:dyDescent="0.3">
      <c r="A18" s="9">
        <v>13</v>
      </c>
      <c r="B18" s="32" t="s">
        <v>419</v>
      </c>
      <c r="C18" s="26" t="s">
        <v>473</v>
      </c>
      <c r="D18" s="11" t="s">
        <v>11</v>
      </c>
      <c r="E18" s="22" t="s">
        <v>258</v>
      </c>
      <c r="F18" s="10" t="s">
        <v>16</v>
      </c>
      <c r="G18" s="10" t="s">
        <v>16</v>
      </c>
      <c r="H18" s="10">
        <v>56</v>
      </c>
      <c r="I18" s="10"/>
      <c r="J18" s="10"/>
      <c r="K18" s="10"/>
      <c r="L18" s="10"/>
      <c r="M18" s="1"/>
      <c r="N18" s="1"/>
      <c r="O18" s="1"/>
    </row>
    <row r="19" spans="1:15" ht="15.6" x14ac:dyDescent="0.3">
      <c r="A19" s="9">
        <v>14</v>
      </c>
      <c r="B19" s="17" t="s">
        <v>420</v>
      </c>
      <c r="C19" s="22" t="s">
        <v>474</v>
      </c>
      <c r="D19" s="11" t="s">
        <v>11</v>
      </c>
      <c r="E19" s="22" t="s">
        <v>259</v>
      </c>
      <c r="F19" s="10" t="s">
        <v>16</v>
      </c>
      <c r="G19" s="10" t="s">
        <v>16</v>
      </c>
      <c r="H19" s="10">
        <v>46</v>
      </c>
      <c r="I19" s="10"/>
      <c r="J19" s="10"/>
      <c r="K19" s="10"/>
      <c r="L19" s="10"/>
      <c r="M19" s="1"/>
      <c r="N19" s="1"/>
      <c r="O19" s="1"/>
    </row>
    <row r="20" spans="1:15" ht="15.6" x14ac:dyDescent="0.3">
      <c r="A20" s="9">
        <v>15</v>
      </c>
      <c r="B20" s="33" t="s">
        <v>421</v>
      </c>
      <c r="C20" s="24" t="s">
        <v>475</v>
      </c>
      <c r="D20" s="11" t="s">
        <v>11</v>
      </c>
      <c r="E20" s="24" t="s">
        <v>260</v>
      </c>
      <c r="F20" s="10">
        <v>58</v>
      </c>
      <c r="G20" s="10" t="s">
        <v>16</v>
      </c>
      <c r="H20" s="10">
        <v>50</v>
      </c>
      <c r="I20" s="10"/>
      <c r="J20" s="10"/>
      <c r="K20" s="10"/>
      <c r="L20" s="10"/>
      <c r="M20" s="1"/>
      <c r="N20" s="1"/>
      <c r="O20" s="1"/>
    </row>
    <row r="21" spans="1:15" ht="15.6" x14ac:dyDescent="0.3">
      <c r="A21" s="9">
        <v>16</v>
      </c>
      <c r="B21" s="17" t="s">
        <v>422</v>
      </c>
      <c r="C21" s="22" t="s">
        <v>476</v>
      </c>
      <c r="D21" s="11" t="s">
        <v>11</v>
      </c>
      <c r="E21" s="22" t="s">
        <v>261</v>
      </c>
      <c r="F21" s="10" t="s">
        <v>16</v>
      </c>
      <c r="G21" s="10">
        <v>58</v>
      </c>
      <c r="H21" s="10">
        <v>54</v>
      </c>
      <c r="I21" s="10"/>
      <c r="J21" s="10"/>
      <c r="K21" s="10"/>
      <c r="L21" s="10"/>
      <c r="M21" s="1"/>
      <c r="N21" s="1"/>
      <c r="O21" s="1"/>
    </row>
    <row r="22" spans="1:15" ht="15.6" x14ac:dyDescent="0.3">
      <c r="A22" s="9">
        <v>17</v>
      </c>
      <c r="B22" s="32" t="s">
        <v>423</v>
      </c>
      <c r="C22" s="26" t="s">
        <v>477</v>
      </c>
      <c r="D22" s="11" t="s">
        <v>11</v>
      </c>
      <c r="E22" s="22" t="s">
        <v>262</v>
      </c>
      <c r="F22" s="10" t="s">
        <v>16</v>
      </c>
      <c r="G22" s="10" t="s">
        <v>16</v>
      </c>
      <c r="H22" s="10" t="s">
        <v>16</v>
      </c>
      <c r="I22" s="10"/>
      <c r="J22" s="10"/>
      <c r="K22" s="10"/>
      <c r="L22" s="10"/>
      <c r="M22" s="1"/>
      <c r="N22" s="1"/>
      <c r="O22" s="1"/>
    </row>
    <row r="23" spans="1:15" ht="15.6" x14ac:dyDescent="0.3">
      <c r="A23" s="9">
        <v>18</v>
      </c>
      <c r="B23" s="32" t="s">
        <v>424</v>
      </c>
      <c r="C23" s="26" t="s">
        <v>478</v>
      </c>
      <c r="D23" s="11" t="s">
        <v>11</v>
      </c>
      <c r="E23" s="22" t="s">
        <v>263</v>
      </c>
      <c r="F23" s="10">
        <v>60</v>
      </c>
      <c r="G23" s="10">
        <v>60</v>
      </c>
      <c r="H23" s="10">
        <v>60</v>
      </c>
      <c r="I23" s="10"/>
      <c r="J23" s="10"/>
      <c r="K23" s="10"/>
      <c r="L23" s="10"/>
      <c r="M23" s="1"/>
      <c r="N23" s="1"/>
      <c r="O23" s="1"/>
    </row>
    <row r="24" spans="1:15" ht="15.6" x14ac:dyDescent="0.3">
      <c r="A24" s="9">
        <v>19</v>
      </c>
      <c r="B24" s="32" t="s">
        <v>425</v>
      </c>
      <c r="C24" s="26" t="s">
        <v>479</v>
      </c>
      <c r="D24" s="11" t="s">
        <v>11</v>
      </c>
      <c r="E24" s="22" t="s">
        <v>264</v>
      </c>
      <c r="F24" s="10" t="s">
        <v>16</v>
      </c>
      <c r="G24" s="10" t="s">
        <v>16</v>
      </c>
      <c r="H24" s="10" t="s">
        <v>16</v>
      </c>
      <c r="I24" s="10"/>
      <c r="J24" s="10"/>
      <c r="K24" s="10"/>
      <c r="L24" s="10"/>
      <c r="M24" s="1"/>
      <c r="N24" s="1"/>
      <c r="O24" s="1"/>
    </row>
    <row r="25" spans="1:15" ht="15.6" x14ac:dyDescent="0.3">
      <c r="A25" s="9">
        <v>20</v>
      </c>
      <c r="B25" s="32" t="s">
        <v>426</v>
      </c>
      <c r="C25" s="26" t="s">
        <v>480</v>
      </c>
      <c r="D25" s="11" t="s">
        <v>11</v>
      </c>
      <c r="E25" s="22" t="s">
        <v>265</v>
      </c>
      <c r="F25" s="10" t="s">
        <v>16</v>
      </c>
      <c r="G25" s="10" t="s">
        <v>16</v>
      </c>
      <c r="H25" s="10">
        <v>54</v>
      </c>
      <c r="I25" s="10"/>
      <c r="J25" s="10"/>
      <c r="K25" s="10"/>
      <c r="L25" s="10"/>
      <c r="M25" s="1"/>
      <c r="N25" s="1"/>
      <c r="O25" s="1"/>
    </row>
    <row r="26" spans="1:15" ht="15.6" x14ac:dyDescent="0.3">
      <c r="A26" s="9">
        <v>21</v>
      </c>
      <c r="B26" s="32" t="s">
        <v>427</v>
      </c>
      <c r="C26" s="26" t="s">
        <v>481</v>
      </c>
      <c r="D26" s="11" t="s">
        <v>11</v>
      </c>
      <c r="E26" s="22" t="s">
        <v>266</v>
      </c>
      <c r="F26" s="10" t="s">
        <v>16</v>
      </c>
      <c r="G26" s="10" t="s">
        <v>16</v>
      </c>
      <c r="H26" s="10">
        <v>56</v>
      </c>
      <c r="I26" s="10"/>
      <c r="J26" s="10"/>
      <c r="K26" s="10"/>
      <c r="L26" s="10"/>
      <c r="M26" s="1"/>
      <c r="N26" s="1"/>
      <c r="O26" s="1"/>
    </row>
    <row r="27" spans="1:15" ht="15.6" x14ac:dyDescent="0.3">
      <c r="A27" s="9">
        <v>22</v>
      </c>
      <c r="B27" s="32" t="s">
        <v>428</v>
      </c>
      <c r="C27" s="26" t="s">
        <v>482</v>
      </c>
      <c r="D27" s="11" t="s">
        <v>11</v>
      </c>
      <c r="E27" s="22" t="s">
        <v>267</v>
      </c>
      <c r="F27" s="10">
        <v>58</v>
      </c>
      <c r="G27" s="10">
        <v>56</v>
      </c>
      <c r="H27" s="10">
        <v>54</v>
      </c>
      <c r="I27" s="10"/>
      <c r="J27" s="10"/>
      <c r="K27" s="10"/>
      <c r="L27" s="10"/>
      <c r="M27" s="1"/>
      <c r="N27" s="1"/>
      <c r="O27" s="1"/>
    </row>
    <row r="28" spans="1:15" ht="15.6" x14ac:dyDescent="0.3">
      <c r="A28" s="9">
        <v>23</v>
      </c>
      <c r="B28" s="33" t="s">
        <v>429</v>
      </c>
      <c r="C28" s="24" t="s">
        <v>483</v>
      </c>
      <c r="D28" s="11" t="s">
        <v>11</v>
      </c>
      <c r="E28" s="24" t="s">
        <v>268</v>
      </c>
      <c r="F28" s="10" t="s">
        <v>16</v>
      </c>
      <c r="G28" s="10" t="s">
        <v>16</v>
      </c>
      <c r="H28" s="10" t="s">
        <v>16</v>
      </c>
      <c r="I28" s="10"/>
      <c r="J28" s="10"/>
      <c r="K28" s="10"/>
      <c r="L28" s="10"/>
      <c r="M28" s="1"/>
      <c r="N28" s="1"/>
      <c r="O28" s="1"/>
    </row>
    <row r="29" spans="1:15" ht="15.6" x14ac:dyDescent="0.3">
      <c r="A29" s="9">
        <v>24</v>
      </c>
      <c r="B29" s="34" t="s">
        <v>430</v>
      </c>
      <c r="C29" s="25" t="s">
        <v>484</v>
      </c>
      <c r="D29" s="11" t="s">
        <v>11</v>
      </c>
      <c r="E29" s="25" t="s">
        <v>269</v>
      </c>
      <c r="F29" s="10" t="s">
        <v>16</v>
      </c>
      <c r="G29" s="10" t="s">
        <v>16</v>
      </c>
      <c r="H29" s="10">
        <v>54</v>
      </c>
      <c r="I29" s="10"/>
      <c r="J29" s="10"/>
      <c r="K29" s="10"/>
      <c r="L29" s="10"/>
      <c r="M29" s="1"/>
      <c r="N29" s="1"/>
      <c r="O29" s="1"/>
    </row>
    <row r="30" spans="1:15" ht="15.6" x14ac:dyDescent="0.3">
      <c r="A30" s="9">
        <v>25</v>
      </c>
      <c r="B30" s="17" t="s">
        <v>431</v>
      </c>
      <c r="C30" s="22" t="s">
        <v>485</v>
      </c>
      <c r="D30" s="11" t="s">
        <v>11</v>
      </c>
      <c r="E30" s="22" t="s">
        <v>270</v>
      </c>
      <c r="F30" s="10" t="s">
        <v>16</v>
      </c>
      <c r="G30" s="10" t="s">
        <v>16</v>
      </c>
      <c r="H30" s="10">
        <v>54</v>
      </c>
      <c r="I30" s="10"/>
      <c r="J30" s="10"/>
      <c r="K30" s="10"/>
      <c r="L30" s="10"/>
      <c r="M30" s="1"/>
      <c r="N30" s="1"/>
      <c r="O30" s="1"/>
    </row>
    <row r="31" spans="1:15" ht="15.6" x14ac:dyDescent="0.3">
      <c r="A31" s="9">
        <v>26</v>
      </c>
      <c r="B31" s="32" t="s">
        <v>432</v>
      </c>
      <c r="C31" s="26" t="s">
        <v>486</v>
      </c>
      <c r="D31" s="11" t="s">
        <v>11</v>
      </c>
      <c r="E31" s="22" t="s">
        <v>271</v>
      </c>
      <c r="F31" s="10" t="s">
        <v>16</v>
      </c>
      <c r="G31" s="10" t="s">
        <v>16</v>
      </c>
      <c r="H31" s="10" t="s">
        <v>16</v>
      </c>
      <c r="I31" s="10"/>
      <c r="J31" s="10"/>
      <c r="K31" s="10"/>
      <c r="L31" s="10"/>
      <c r="M31" s="1"/>
      <c r="N31" s="1"/>
      <c r="O31" s="1"/>
    </row>
    <row r="32" spans="1:15" ht="15.6" x14ac:dyDescent="0.3">
      <c r="A32" s="9">
        <v>27</v>
      </c>
      <c r="B32" s="34" t="s">
        <v>433</v>
      </c>
      <c r="C32" s="25" t="s">
        <v>487</v>
      </c>
      <c r="D32" s="11" t="s">
        <v>11</v>
      </c>
      <c r="E32" s="25" t="s">
        <v>272</v>
      </c>
      <c r="F32" s="10">
        <v>38</v>
      </c>
      <c r="G32" s="10">
        <v>46</v>
      </c>
      <c r="H32" s="10">
        <v>54</v>
      </c>
      <c r="I32" s="10"/>
      <c r="J32" s="10"/>
      <c r="K32" s="10"/>
      <c r="L32" s="10"/>
      <c r="M32" s="1"/>
      <c r="N32" s="1"/>
      <c r="O32" s="1"/>
    </row>
    <row r="33" spans="1:15" ht="15.6" x14ac:dyDescent="0.3">
      <c r="A33" s="9">
        <v>28</v>
      </c>
      <c r="B33" s="32" t="s">
        <v>434</v>
      </c>
      <c r="C33" s="26" t="s">
        <v>488</v>
      </c>
      <c r="D33" s="11" t="s">
        <v>11</v>
      </c>
      <c r="E33" s="22" t="s">
        <v>273</v>
      </c>
      <c r="F33" s="10">
        <v>60</v>
      </c>
      <c r="G33" s="10">
        <v>58</v>
      </c>
      <c r="H33" s="10">
        <v>56</v>
      </c>
      <c r="I33" s="10"/>
      <c r="J33" s="10"/>
      <c r="K33" s="10"/>
      <c r="L33" s="10"/>
      <c r="M33" s="1"/>
      <c r="N33" s="1"/>
      <c r="O33" s="1"/>
    </row>
    <row r="34" spans="1:15" ht="15.6" x14ac:dyDescent="0.3">
      <c r="A34" s="9">
        <v>29</v>
      </c>
      <c r="B34" s="17" t="s">
        <v>435</v>
      </c>
      <c r="C34" s="22" t="s">
        <v>489</v>
      </c>
      <c r="D34" s="11" t="s">
        <v>11</v>
      </c>
      <c r="E34" s="22" t="s">
        <v>274</v>
      </c>
      <c r="F34" s="10" t="s">
        <v>16</v>
      </c>
      <c r="G34" s="10" t="s">
        <v>16</v>
      </c>
      <c r="H34" s="10">
        <v>32</v>
      </c>
      <c r="I34" s="10"/>
      <c r="J34" s="10"/>
      <c r="K34" s="10"/>
      <c r="L34" s="10"/>
      <c r="M34" s="1"/>
      <c r="N34" s="1"/>
      <c r="O34" s="1"/>
    </row>
    <row r="35" spans="1:15" ht="15.6" x14ac:dyDescent="0.3">
      <c r="A35" s="9">
        <v>30</v>
      </c>
      <c r="B35" s="32" t="s">
        <v>436</v>
      </c>
      <c r="C35" s="26" t="s">
        <v>490</v>
      </c>
      <c r="D35" s="11" t="s">
        <v>11</v>
      </c>
      <c r="E35" s="22" t="s">
        <v>275</v>
      </c>
      <c r="F35" s="10">
        <v>0</v>
      </c>
      <c r="G35" s="10" t="s">
        <v>16</v>
      </c>
      <c r="H35" s="10" t="s">
        <v>16</v>
      </c>
      <c r="I35" s="10"/>
      <c r="J35" s="10"/>
      <c r="K35" s="10"/>
      <c r="L35" s="10"/>
      <c r="M35" s="1"/>
      <c r="N35" s="1"/>
      <c r="O35" s="1"/>
    </row>
    <row r="36" spans="1:15" ht="15.6" x14ac:dyDescent="0.3">
      <c r="A36" s="9">
        <v>31</v>
      </c>
      <c r="B36" s="32" t="s">
        <v>437</v>
      </c>
      <c r="C36" s="26" t="s">
        <v>491</v>
      </c>
      <c r="D36" s="11" t="s">
        <v>11</v>
      </c>
      <c r="E36" s="22" t="s">
        <v>276</v>
      </c>
      <c r="F36" s="10" t="s">
        <v>16</v>
      </c>
      <c r="G36" s="10" t="s">
        <v>16</v>
      </c>
      <c r="H36" s="10">
        <v>0</v>
      </c>
      <c r="I36" s="10"/>
      <c r="J36" s="10"/>
      <c r="K36" s="10"/>
      <c r="L36" s="10"/>
      <c r="M36" s="1"/>
      <c r="N36" s="1"/>
      <c r="O36" s="1"/>
    </row>
    <row r="37" spans="1:15" ht="15.6" x14ac:dyDescent="0.3">
      <c r="A37" s="9">
        <v>32</v>
      </c>
      <c r="B37" s="32" t="s">
        <v>438</v>
      </c>
      <c r="C37" s="26" t="s">
        <v>492</v>
      </c>
      <c r="D37" s="11" t="s">
        <v>11</v>
      </c>
      <c r="E37" s="26" t="s">
        <v>277</v>
      </c>
      <c r="F37" s="10" t="s">
        <v>16</v>
      </c>
      <c r="G37" s="10" t="s">
        <v>16</v>
      </c>
      <c r="H37" s="10" t="s">
        <v>16</v>
      </c>
      <c r="I37" s="10"/>
      <c r="J37" s="10"/>
      <c r="K37" s="10"/>
      <c r="L37" s="10"/>
      <c r="M37" s="1"/>
      <c r="N37" s="1"/>
      <c r="O37" s="1"/>
    </row>
    <row r="38" spans="1:15" ht="15.6" x14ac:dyDescent="0.3">
      <c r="A38" s="9">
        <v>33</v>
      </c>
      <c r="B38" s="32" t="s">
        <v>439</v>
      </c>
      <c r="C38" s="26" t="s">
        <v>493</v>
      </c>
      <c r="D38" s="11" t="s">
        <v>11</v>
      </c>
      <c r="E38" s="23" t="s">
        <v>278</v>
      </c>
      <c r="F38" s="10">
        <v>0</v>
      </c>
      <c r="G38" s="10">
        <v>58</v>
      </c>
      <c r="H38" s="10">
        <v>34</v>
      </c>
      <c r="I38" s="10"/>
      <c r="J38" s="10"/>
      <c r="K38" s="10"/>
      <c r="L38" s="10"/>
      <c r="M38" s="1"/>
      <c r="N38" s="1"/>
      <c r="O38" s="1"/>
    </row>
    <row r="39" spans="1:15" ht="15.6" x14ac:dyDescent="0.3">
      <c r="A39" s="9">
        <v>34</v>
      </c>
      <c r="B39" s="17" t="s">
        <v>440</v>
      </c>
      <c r="C39" s="22" t="s">
        <v>494</v>
      </c>
      <c r="D39" s="11" t="s">
        <v>11</v>
      </c>
      <c r="E39" s="22" t="s">
        <v>279</v>
      </c>
      <c r="F39" s="10">
        <v>26</v>
      </c>
      <c r="G39" s="10">
        <v>28</v>
      </c>
      <c r="H39" s="10">
        <v>56</v>
      </c>
      <c r="I39" s="10"/>
      <c r="J39" s="10"/>
      <c r="K39" s="10"/>
      <c r="L39" s="10"/>
      <c r="M39" s="1"/>
      <c r="N39" s="1"/>
      <c r="O39" s="1"/>
    </row>
    <row r="40" spans="1:15" ht="15.6" x14ac:dyDescent="0.3">
      <c r="A40" s="9">
        <v>35</v>
      </c>
      <c r="B40" s="32" t="s">
        <v>441</v>
      </c>
      <c r="C40" s="26" t="s">
        <v>495</v>
      </c>
      <c r="D40" s="11" t="s">
        <v>11</v>
      </c>
      <c r="E40" s="22" t="s">
        <v>280</v>
      </c>
      <c r="F40" s="10" t="s">
        <v>16</v>
      </c>
      <c r="G40" s="10" t="s">
        <v>16</v>
      </c>
      <c r="H40" s="10" t="s">
        <v>16</v>
      </c>
      <c r="I40" s="10"/>
      <c r="J40" s="10"/>
      <c r="K40" s="10"/>
      <c r="L40" s="10"/>
      <c r="M40" s="1"/>
      <c r="N40" s="1"/>
      <c r="O40" s="1"/>
    </row>
    <row r="41" spans="1:15" ht="15.6" x14ac:dyDescent="0.3">
      <c r="A41" s="9">
        <v>36</v>
      </c>
      <c r="B41" s="32" t="s">
        <v>442</v>
      </c>
      <c r="C41" s="26" t="s">
        <v>496</v>
      </c>
      <c r="D41" s="11" t="s">
        <v>11</v>
      </c>
      <c r="E41" s="23" t="s">
        <v>281</v>
      </c>
      <c r="F41" s="10" t="s">
        <v>16</v>
      </c>
      <c r="G41" s="10" t="s">
        <v>16</v>
      </c>
      <c r="H41" s="10" t="s">
        <v>16</v>
      </c>
      <c r="I41" s="10"/>
      <c r="J41" s="10"/>
      <c r="K41" s="10"/>
      <c r="L41" s="10"/>
      <c r="M41" s="1"/>
      <c r="N41" s="1"/>
      <c r="O41" s="1"/>
    </row>
    <row r="42" spans="1:15" ht="15.6" x14ac:dyDescent="0.3">
      <c r="A42" s="9">
        <v>37</v>
      </c>
      <c r="B42" s="32" t="s">
        <v>443</v>
      </c>
      <c r="C42" s="26" t="s">
        <v>497</v>
      </c>
      <c r="D42" s="11" t="s">
        <v>11</v>
      </c>
      <c r="E42" s="23" t="s">
        <v>282</v>
      </c>
      <c r="F42" s="10" t="s">
        <v>16</v>
      </c>
      <c r="G42" s="10" t="s">
        <v>16</v>
      </c>
      <c r="H42" s="10" t="s">
        <v>16</v>
      </c>
      <c r="I42" s="10"/>
      <c r="J42" s="10"/>
      <c r="K42" s="10"/>
      <c r="L42" s="10"/>
      <c r="M42" s="1"/>
      <c r="N42" s="1"/>
      <c r="O42" s="1"/>
    </row>
    <row r="43" spans="1:15" ht="15.6" x14ac:dyDescent="0.3">
      <c r="A43" s="9">
        <v>38</v>
      </c>
      <c r="B43" s="32" t="s">
        <v>444</v>
      </c>
      <c r="C43" s="26" t="s">
        <v>498</v>
      </c>
      <c r="D43" s="11" t="s">
        <v>11</v>
      </c>
      <c r="E43" s="22" t="s">
        <v>283</v>
      </c>
      <c r="F43" s="10" t="s">
        <v>16</v>
      </c>
      <c r="G43" s="10" t="s">
        <v>16</v>
      </c>
      <c r="H43" s="10" t="s">
        <v>16</v>
      </c>
      <c r="I43" s="10"/>
      <c r="J43" s="10"/>
      <c r="K43" s="10"/>
      <c r="L43" s="10"/>
      <c r="M43" s="1"/>
      <c r="N43" s="1"/>
      <c r="O43" s="1"/>
    </row>
    <row r="44" spans="1:15" ht="15.6" x14ac:dyDescent="0.3">
      <c r="A44" s="9">
        <v>39</v>
      </c>
      <c r="B44" s="33" t="s">
        <v>445</v>
      </c>
      <c r="C44" s="24" t="s">
        <v>499</v>
      </c>
      <c r="D44" s="11" t="s">
        <v>11</v>
      </c>
      <c r="E44" s="24" t="s">
        <v>284</v>
      </c>
      <c r="F44" s="10">
        <v>60</v>
      </c>
      <c r="G44" s="10">
        <v>56</v>
      </c>
      <c r="H44" s="10">
        <v>60</v>
      </c>
      <c r="I44" s="10"/>
      <c r="J44" s="10"/>
      <c r="K44" s="10"/>
      <c r="L44" s="10"/>
      <c r="M44" s="1"/>
      <c r="N44" s="1"/>
      <c r="O44" s="1"/>
    </row>
    <row r="45" spans="1:15" ht="15.6" x14ac:dyDescent="0.3">
      <c r="A45" s="9">
        <v>40</v>
      </c>
      <c r="B45" s="32" t="s">
        <v>446</v>
      </c>
      <c r="C45" s="26" t="s">
        <v>500</v>
      </c>
      <c r="D45" s="11" t="s">
        <v>11</v>
      </c>
      <c r="E45" s="22" t="s">
        <v>285</v>
      </c>
      <c r="F45" s="10">
        <v>58</v>
      </c>
      <c r="G45" s="10">
        <v>58</v>
      </c>
      <c r="H45" s="10">
        <v>54</v>
      </c>
      <c r="I45" s="10"/>
      <c r="J45" s="10"/>
      <c r="K45" s="10"/>
      <c r="L45" s="10"/>
      <c r="M45" s="1"/>
      <c r="N45" s="1"/>
      <c r="O45" s="1"/>
    </row>
    <row r="46" spans="1:15" ht="15.6" x14ac:dyDescent="0.3">
      <c r="A46" s="9">
        <v>41</v>
      </c>
      <c r="B46" s="33" t="s">
        <v>447</v>
      </c>
      <c r="C46" s="24" t="s">
        <v>501</v>
      </c>
      <c r="D46" s="11" t="s">
        <v>11</v>
      </c>
      <c r="E46" s="24" t="s">
        <v>286</v>
      </c>
      <c r="F46" s="10">
        <v>36</v>
      </c>
      <c r="G46" s="10">
        <v>60</v>
      </c>
      <c r="H46" s="10">
        <v>54</v>
      </c>
      <c r="I46" s="10"/>
      <c r="J46" s="10"/>
      <c r="K46" s="10"/>
      <c r="L46" s="10"/>
      <c r="M46" s="1"/>
      <c r="N46" s="1"/>
      <c r="O46" s="1"/>
    </row>
    <row r="47" spans="1:15" ht="15.6" x14ac:dyDescent="0.3">
      <c r="A47" s="9">
        <v>42</v>
      </c>
      <c r="B47" s="32" t="s">
        <v>448</v>
      </c>
      <c r="C47" s="26" t="s">
        <v>502</v>
      </c>
      <c r="D47" s="11" t="s">
        <v>11</v>
      </c>
      <c r="E47" s="23" t="s">
        <v>278</v>
      </c>
      <c r="F47" s="10">
        <v>0</v>
      </c>
      <c r="G47" s="10">
        <v>58</v>
      </c>
      <c r="H47" s="10">
        <v>34</v>
      </c>
      <c r="I47" s="10"/>
      <c r="J47" s="10"/>
      <c r="K47" s="10"/>
      <c r="L47" s="10"/>
      <c r="M47" s="1"/>
      <c r="N47" s="1"/>
      <c r="O47" s="1"/>
    </row>
    <row r="48" spans="1:15" ht="15.6" x14ac:dyDescent="0.3">
      <c r="A48" s="9">
        <v>43</v>
      </c>
      <c r="B48" s="32" t="s">
        <v>449</v>
      </c>
      <c r="C48" s="26" t="s">
        <v>503</v>
      </c>
      <c r="D48" s="11" t="s">
        <v>11</v>
      </c>
      <c r="E48" s="22" t="s">
        <v>287</v>
      </c>
      <c r="F48" s="10" t="s">
        <v>16</v>
      </c>
      <c r="G48" s="10" t="s">
        <v>16</v>
      </c>
      <c r="H48" s="10" t="s">
        <v>16</v>
      </c>
      <c r="I48" s="10"/>
      <c r="J48" s="10"/>
      <c r="K48" s="10"/>
      <c r="L48" s="10"/>
      <c r="M48" s="1"/>
      <c r="N48" s="1"/>
      <c r="O48" s="1"/>
    </row>
    <row r="49" spans="1:15" ht="15.6" x14ac:dyDescent="0.3">
      <c r="A49" s="9">
        <v>44</v>
      </c>
      <c r="B49" s="34" t="s">
        <v>450</v>
      </c>
      <c r="C49" s="25" t="s">
        <v>14</v>
      </c>
      <c r="D49" s="11" t="s">
        <v>11</v>
      </c>
      <c r="E49" s="25" t="s">
        <v>288</v>
      </c>
      <c r="F49" s="10">
        <v>18</v>
      </c>
      <c r="G49" s="10" t="s">
        <v>16</v>
      </c>
      <c r="H49" s="10" t="s">
        <v>16</v>
      </c>
      <c r="I49" s="10"/>
      <c r="J49" s="10"/>
      <c r="K49" s="10"/>
      <c r="L49" s="10"/>
      <c r="M49" s="1"/>
      <c r="N49" s="1"/>
      <c r="O49" s="1"/>
    </row>
    <row r="50" spans="1:15" ht="15.6" x14ac:dyDescent="0.3">
      <c r="A50" s="9">
        <v>45</v>
      </c>
      <c r="B50" s="17" t="s">
        <v>451</v>
      </c>
      <c r="C50" s="22" t="s">
        <v>504</v>
      </c>
      <c r="D50" s="11" t="s">
        <v>11</v>
      </c>
      <c r="E50" s="22" t="s">
        <v>289</v>
      </c>
      <c r="F50" s="10" t="s">
        <v>16</v>
      </c>
      <c r="G50" s="10" t="s">
        <v>16</v>
      </c>
      <c r="H50" s="10">
        <v>54</v>
      </c>
      <c r="I50" s="10"/>
      <c r="J50" s="10"/>
      <c r="K50" s="10"/>
      <c r="L50" s="10"/>
      <c r="M50" s="1"/>
      <c r="N50" s="1"/>
      <c r="O50" s="1"/>
    </row>
    <row r="51" spans="1:15" ht="15.6" x14ac:dyDescent="0.3">
      <c r="A51" s="9">
        <v>46</v>
      </c>
      <c r="B51" s="32" t="s">
        <v>452</v>
      </c>
      <c r="C51" s="26" t="s">
        <v>505</v>
      </c>
      <c r="D51" s="11" t="s">
        <v>11</v>
      </c>
      <c r="E51" s="22" t="s">
        <v>290</v>
      </c>
      <c r="F51" s="10" t="s">
        <v>16</v>
      </c>
      <c r="G51" s="10" t="s">
        <v>16</v>
      </c>
      <c r="H51" s="10" t="s">
        <v>16</v>
      </c>
      <c r="I51" s="10"/>
      <c r="J51" s="10"/>
      <c r="K51" s="10"/>
      <c r="L51" s="10"/>
      <c r="M51" s="1"/>
      <c r="N51" s="1"/>
      <c r="O51" s="1"/>
    </row>
    <row r="52" spans="1:15" ht="15.6" x14ac:dyDescent="0.3">
      <c r="A52" s="9">
        <v>47</v>
      </c>
      <c r="B52" s="17" t="s">
        <v>453</v>
      </c>
      <c r="C52" s="22" t="s">
        <v>506</v>
      </c>
      <c r="D52" s="11" t="s">
        <v>11</v>
      </c>
      <c r="E52" s="22" t="s">
        <v>291</v>
      </c>
      <c r="F52" s="10">
        <v>56</v>
      </c>
      <c r="G52" s="10" t="s">
        <v>16</v>
      </c>
      <c r="H52" s="10">
        <v>56</v>
      </c>
      <c r="I52" s="10"/>
      <c r="J52" s="10"/>
      <c r="K52" s="10"/>
      <c r="L52" s="10"/>
      <c r="M52" s="1"/>
      <c r="N52" s="1"/>
      <c r="O52" s="1"/>
    </row>
    <row r="53" spans="1:15" ht="15.6" x14ac:dyDescent="0.3">
      <c r="A53" s="9">
        <v>48</v>
      </c>
      <c r="B53" s="32" t="s">
        <v>454</v>
      </c>
      <c r="C53" s="26" t="s">
        <v>507</v>
      </c>
      <c r="D53" s="11" t="s">
        <v>11</v>
      </c>
      <c r="E53" s="22" t="s">
        <v>292</v>
      </c>
      <c r="F53" s="10">
        <v>40</v>
      </c>
      <c r="G53" s="10">
        <v>56</v>
      </c>
      <c r="H53" s="10">
        <v>0</v>
      </c>
      <c r="I53" s="10"/>
      <c r="J53" s="10"/>
      <c r="K53" s="10"/>
      <c r="L53" s="10"/>
      <c r="M53" s="1"/>
      <c r="N53" s="1"/>
      <c r="O53" s="1"/>
    </row>
    <row r="54" spans="1:15" ht="15.6" x14ac:dyDescent="0.3">
      <c r="A54" s="9">
        <v>49</v>
      </c>
      <c r="B54" s="32" t="s">
        <v>455</v>
      </c>
      <c r="C54" s="26" t="s">
        <v>508</v>
      </c>
      <c r="D54" s="11" t="s">
        <v>11</v>
      </c>
      <c r="E54" s="22" t="s">
        <v>293</v>
      </c>
      <c r="F54" s="10" t="s">
        <v>16</v>
      </c>
      <c r="G54" s="10" t="s">
        <v>16</v>
      </c>
      <c r="H54" s="10" t="s">
        <v>16</v>
      </c>
      <c r="I54" s="10"/>
      <c r="J54" s="10"/>
      <c r="K54" s="10"/>
      <c r="L54" s="10"/>
      <c r="M54" s="1"/>
      <c r="N54" s="1"/>
      <c r="O54" s="1"/>
    </row>
    <row r="55" spans="1:15" ht="15.6" x14ac:dyDescent="0.3">
      <c r="A55" s="9">
        <v>50</v>
      </c>
      <c r="B55" s="32" t="s">
        <v>456</v>
      </c>
      <c r="C55" s="26" t="s">
        <v>509</v>
      </c>
      <c r="D55" s="11" t="s">
        <v>11</v>
      </c>
      <c r="E55" s="22" t="s">
        <v>294</v>
      </c>
      <c r="F55" s="10" t="s">
        <v>16</v>
      </c>
      <c r="G55" s="10" t="s">
        <v>16</v>
      </c>
      <c r="H55" s="10">
        <v>0</v>
      </c>
      <c r="I55" s="10"/>
      <c r="J55" s="10"/>
      <c r="K55" s="10"/>
      <c r="L55" s="10"/>
      <c r="M55" s="1"/>
      <c r="N55" s="1"/>
      <c r="O55" s="1"/>
    </row>
    <row r="56" spans="1:15" ht="15.6" x14ac:dyDescent="0.3">
      <c r="A56" s="9">
        <v>51</v>
      </c>
      <c r="B56" s="32" t="s">
        <v>457</v>
      </c>
      <c r="C56" s="26" t="s">
        <v>510</v>
      </c>
      <c r="D56" s="11" t="s">
        <v>11</v>
      </c>
      <c r="E56" s="22" t="s">
        <v>295</v>
      </c>
      <c r="F56" s="10" t="s">
        <v>16</v>
      </c>
      <c r="G56" s="10" t="s">
        <v>16</v>
      </c>
      <c r="H56" s="10" t="s">
        <v>16</v>
      </c>
      <c r="I56" s="10"/>
      <c r="J56" s="10"/>
      <c r="K56" s="10"/>
      <c r="L56" s="10"/>
      <c r="M56" s="1"/>
      <c r="N56" s="1"/>
      <c r="O56" s="1"/>
    </row>
    <row r="57" spans="1:15" ht="15.6" x14ac:dyDescent="0.3">
      <c r="A57" s="9">
        <v>52</v>
      </c>
      <c r="B57" s="32" t="s">
        <v>458</v>
      </c>
      <c r="C57" s="26" t="s">
        <v>511</v>
      </c>
      <c r="D57" s="11" t="s">
        <v>11</v>
      </c>
      <c r="E57" s="22" t="s">
        <v>296</v>
      </c>
      <c r="F57" s="10">
        <v>24</v>
      </c>
      <c r="G57" s="10">
        <v>32</v>
      </c>
      <c r="H57" s="10">
        <v>32</v>
      </c>
      <c r="I57" s="10"/>
      <c r="J57" s="10"/>
      <c r="K57" s="10"/>
      <c r="L57" s="10"/>
      <c r="M57" s="1"/>
      <c r="N57" s="1"/>
      <c r="O57" s="1"/>
    </row>
    <row r="58" spans="1:15" ht="15.6" x14ac:dyDescent="0.3">
      <c r="A58" s="9">
        <v>53</v>
      </c>
      <c r="B58" s="17" t="s">
        <v>459</v>
      </c>
      <c r="C58" s="22" t="s">
        <v>512</v>
      </c>
      <c r="D58" s="11" t="s">
        <v>11</v>
      </c>
      <c r="E58" s="22" t="s">
        <v>297</v>
      </c>
      <c r="F58" s="10">
        <v>34</v>
      </c>
      <c r="G58" s="10" t="s">
        <v>16</v>
      </c>
      <c r="H58" s="10">
        <v>32</v>
      </c>
      <c r="I58" s="10"/>
      <c r="J58" s="10"/>
      <c r="K58" s="10"/>
      <c r="L58" s="10"/>
      <c r="M58" s="1"/>
      <c r="N58" s="1"/>
      <c r="O58" s="1"/>
    </row>
    <row r="59" spans="1:15" ht="15.6" x14ac:dyDescent="0.3">
      <c r="A59" s="9">
        <v>54</v>
      </c>
      <c r="B59" s="32" t="s">
        <v>460</v>
      </c>
      <c r="C59" s="26" t="s">
        <v>513</v>
      </c>
      <c r="D59" s="11" t="s">
        <v>11</v>
      </c>
      <c r="E59" s="22" t="s">
        <v>298</v>
      </c>
      <c r="F59" s="10" t="s">
        <v>16</v>
      </c>
      <c r="G59" s="10" t="s">
        <v>16</v>
      </c>
      <c r="H59" s="10" t="s">
        <v>16</v>
      </c>
      <c r="I59" s="10"/>
      <c r="J59" s="10"/>
      <c r="K59" s="10"/>
      <c r="L59" s="10"/>
      <c r="M59" s="1"/>
      <c r="N59" s="1"/>
      <c r="O59" s="1"/>
    </row>
    <row r="60" spans="1:15" x14ac:dyDescent="0.3">
      <c r="E60" s="12" t="s">
        <v>4</v>
      </c>
      <c r="F60" s="14">
        <v>60</v>
      </c>
      <c r="G60" s="14">
        <v>60</v>
      </c>
      <c r="H60" s="14">
        <v>60</v>
      </c>
    </row>
    <row r="61" spans="1:15" x14ac:dyDescent="0.3">
      <c r="E61" s="12" t="s">
        <v>10</v>
      </c>
      <c r="F61" s="14">
        <v>54</v>
      </c>
      <c r="G61" s="14">
        <v>54</v>
      </c>
      <c r="H61" s="14">
        <v>54</v>
      </c>
    </row>
    <row r="62" spans="1:15" x14ac:dyDescent="0.3">
      <c r="E62" s="12" t="s">
        <v>17</v>
      </c>
      <c r="F62" s="14">
        <f>+COUNT(F6:F59)</f>
        <v>24</v>
      </c>
      <c r="G62" s="14">
        <f>+COUNT(G6:G59)</f>
        <v>18</v>
      </c>
      <c r="H62" s="14">
        <f>+COUNT(H6:H59)</f>
        <v>34</v>
      </c>
    </row>
    <row r="63" spans="1:15" x14ac:dyDescent="0.3">
      <c r="E63" s="12" t="s">
        <v>18</v>
      </c>
      <c r="F63" s="14">
        <f>F61-F62</f>
        <v>30</v>
      </c>
      <c r="G63" s="14">
        <f>G61-G62</f>
        <v>36</v>
      </c>
      <c r="H63" s="14">
        <f>H61-H62</f>
        <v>20</v>
      </c>
    </row>
    <row r="64" spans="1:15" x14ac:dyDescent="0.3">
      <c r="E64" s="13" t="s">
        <v>8</v>
      </c>
      <c r="F64" s="14">
        <f>COUNTIF(F6:F59,"&gt;=20")</f>
        <v>19</v>
      </c>
      <c r="G64" s="14">
        <f>COUNTIF(G6:G59,"&gt;=20")</f>
        <v>17</v>
      </c>
      <c r="H64" s="14">
        <f>COUNTIF(H6:H59,"&gt;=20")</f>
        <v>30</v>
      </c>
    </row>
    <row r="65" spans="5:8" x14ac:dyDescent="0.3">
      <c r="E65" s="13" t="s">
        <v>9</v>
      </c>
      <c r="F65" s="14">
        <f>COUNTIF(F6:F59,"&lt;=20")</f>
        <v>5</v>
      </c>
      <c r="G65" s="14">
        <f>COUNTIF(G6:G59,"&lt;=20")</f>
        <v>1</v>
      </c>
      <c r="H65" s="14">
        <f>COUNTIF(H6:H59,"&lt;=20")</f>
        <v>4</v>
      </c>
    </row>
  </sheetData>
  <mergeCells count="4">
    <mergeCell ref="A1:J1"/>
    <mergeCell ref="A2:J2"/>
    <mergeCell ref="A3:J3"/>
    <mergeCell ref="A4:E4"/>
  </mergeCells>
  <conditionalFormatting sqref="C81:C1048576 C1:C59">
    <cfRule type="duplicateValues" dxfId="0" priority="1"/>
  </conditionalFormatting>
  <hyperlinks>
    <hyperlink ref="E17" r:id="rId1" xr:uid="{00000000-0004-0000-0100-000000000000}"/>
    <hyperlink ref="E38" r:id="rId2" xr:uid="{00000000-0004-0000-0100-000001000000}"/>
    <hyperlink ref="E41" r:id="rId3" xr:uid="{00000000-0004-0000-0100-000002000000}"/>
    <hyperlink ref="E42" r:id="rId4" xr:uid="{00000000-0004-0000-0100-000003000000}"/>
    <hyperlink ref="E47" r:id="rId5" xr:uid="{00000000-0004-0000-0100-000004000000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CSE</vt:lpstr>
      <vt:lpstr>AI&amp;DS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2025-09-19T05:18:51Z</dcterms:created>
  <dcterms:modified xsi:type="dcterms:W3CDTF">2026-02-13T09:23:57Z</dcterms:modified>
  <cp:category/>
</cp:coreProperties>
</file>